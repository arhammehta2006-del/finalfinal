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Overview" sheetId="1" state="visible" r:id="rId3"/>
    <sheet name="2. Market Data" sheetId="2" state="visible" r:id="rId4"/>
    <sheet name="3. Assumptions" sheetId="3" state="visible" r:id="rId5"/>
    <sheet name="4. Risk &amp; Portfolio Rules" sheetId="4" state="visible" r:id="rId6"/>
    <sheet name="5. MVO Solver (worked)" sheetId="5" state="visible" r:id="rId7"/>
    <sheet name="6. Portfolio Construction" sheetId="6" state="visible" r:id="rId8"/>
    <sheet name="7. Worked Exampl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<sst xmlns="http://schemas.openxmlformats.org/spreadsheetml/2006/main" count="504" uniqueCount="364">
  <si>
    <t xml:space="preserve">Goal-Based Portfolio Planner - Methodology &amp; Calculation Backend</t>
  </si>
  <si>
    <t xml:space="preserve">This workbook is a live, formula-driven backend for the planner app - not documentation. It computes the same return/volatility/correlation figures, the same solved portfolio weights, and the same worked-example numbers that the app shows, from the same underlying assumptions, so the app, the assumptions and this workbook always agree.</t>
  </si>
  <si>
    <t xml:space="preserve">GLOBAL RULES</t>
  </si>
  <si>
    <t xml:space="preserve">- All rupee figures are shown with Indian (lakh/crore) comma grouping, e.g. 12,50,000.</t>
  </si>
  <si>
    <t xml:space="preserve">- All income figures are MONTHLY, in INR.</t>
  </si>
  <si>
    <t xml:space="preserve">SHEETS IN THIS WORKBOOK</t>
  </si>
  <si>
    <t xml:space="preserve">2. Market Data - the 120-month (10-year) representative return series for each asset class, and live formulas computing CAGR, annualised volatility and the correlation matrix from it.</t>
  </si>
  <si>
    <t xml:space="preserve">3. Assumptions - expected return &amp; volatility per asset (pulled live from sheet 2), goal-type inflation rates, income bands, and the city/housing/vehicle expense-estimation table.</t>
  </si>
  <si>
    <t xml:space="preserve">4. Risk &amp; Portfolio Rules - risk-aversion (lambda) per profile, equity caps by time horizon, per-asset concentration caps, and the risk-scoring rules.</t>
  </si>
  <si>
    <t xml:space="preserve">5. MVO Solver (worked) - the covariance matrix built from sheet 2+3, a SOLVED Mean-Variance-Optimal portfolio for one case (Moderate profile, Medium-term horizon), and a live-formula panel proving its return/risk/objective value versus naive alternative portfolios.</t>
  </si>
  <si>
    <t xml:space="preserve">6. Portfolio Construction - the solved MVO weights for all 9 (time-horizon x risk-profile) combinations the app uses, plus the existing+new-money portfolio-combination formulas.</t>
  </si>
  <si>
    <t xml:space="preserve">7. Worked Example - one full client scenario, computed end-to-end with live formulas, matching the app's output for the identical inputs.</t>
  </si>
  <si>
    <t xml:space="preserve">WHY SOME CELLS ARE HARDCODED NUMBERS, NOT FORMULAS</t>
  </si>
  <si>
    <t xml:space="preserve">A Mean-Variance-Optimization is a constrained quadratic program (maximise return minus risk penalty, subject to weights summing to 100%, no negative weights, and per-asset/horizon caps). Excel has no native, headlessly-computable solver for this (Excel's own 'Solver' add-in needs manual interaction and is not scriptable). So the SOLVED WEIGHTS are computed once by the exact same Python engine (scipy.optimize, SLSQP) that powers the app, and pasted here as labelled inputs (blue). Everything downstream of those weights - portfolio return, variance, volatility, Sharpe ratio, and the comparison against naive alternative portfolios - is a LIVE FORMULA, so you can edit a weight and watch the numbers recompute, and can independently verify that the solved weights score better than the alternatives on the stated objective.</t>
  </si>
  <si>
    <t xml:space="preserve">EQUITY RETURN ASSUMPTIONS UPDATED WITH REAL DATA (2026-10-21): Large/Mid/Small cap expected-return figures now use the official NSE Indices factsheet since-inception Price Return CAGR for Nifty 100 / Nifty Midcap 150 / Nifty Smallcap 250 (14.26% / 15.42% / 14.32% respectively, factsheets as-of 30-Sep-2026) in place of the earlier calibrated placeholders. Volatility and correlation, and all figures for Liquid/Debt/Gold/Real Estate, remain documented calibrated assumptions - see config.py and sheet 3 for exact sourcing and the reasons those could not also be pulled from public data. A consequence of using the real figures: Small Cap's risk-adjusted profile now trails Large/Mid cap over this window, so the optimiser legitimately allocates it 0% in most risk-profile/horizon combinations - this is the model correctly reading real data, not an error.</t>
  </si>
  <si>
    <t xml:space="preserve">10-Year (120-month) Representative Monthly Returns, by Asset Class</t>
  </si>
  <si>
    <t xml:space="preserve">A calibrated, reproducible representative series (seeded random generation matched exactly to commonly reported 10-year return/volatility/correlation statistics for each index/instrument - this sandbox has no certified line-by-line NSE/AMFI price history to cite). Large/Mid/Small cap use the PRICE RETURN version of the Nifty 100 / Nifty Midcap 150 / Nifty Smallcap 250 indices (not TRI). Replace this block with real index/fund NAV history if available - every formula below recalculates automatically.</t>
  </si>
  <si>
    <t xml:space="preserve">Month</t>
  </si>
  <si>
    <t xml:space="preserve">Liquid Fund</t>
  </si>
  <si>
    <t xml:space="preserve">Debt Fund</t>
  </si>
  <si>
    <t xml:space="preserve">Gold</t>
  </si>
  <si>
    <t xml:space="preserve">Real Estate</t>
  </si>
  <si>
    <t xml:space="preserve">Large Cap Mutual Fund</t>
  </si>
  <si>
    <t xml:space="preserve">Mid Cap Mutual Fund</t>
  </si>
  <si>
    <t xml:space="preserve">Small Cap Mutual Fund</t>
  </si>
  <si>
    <t xml:space="preserve">2015-10</t>
  </si>
  <si>
    <t xml:space="preserve">2015-11</t>
  </si>
  <si>
    <t xml:space="preserve">2015-12</t>
  </si>
  <si>
    <t xml:space="preserve">2016-01</t>
  </si>
  <si>
    <t xml:space="preserve">2016-02</t>
  </si>
  <si>
    <t xml:space="preserve">2016-03</t>
  </si>
  <si>
    <t xml:space="preserve">2016-04</t>
  </si>
  <si>
    <t xml:space="preserve">2016-05</t>
  </si>
  <si>
    <t xml:space="preserve">2016-06</t>
  </si>
  <si>
    <t xml:space="preserve">2016-07</t>
  </si>
  <si>
    <t xml:space="preserve">2016-08</t>
  </si>
  <si>
    <t xml:space="preserve">2016-09</t>
  </si>
  <si>
    <t xml:space="preserve">2016-10</t>
  </si>
  <si>
    <t xml:space="preserve">2016-11</t>
  </si>
  <si>
    <t xml:space="preserve">2016-12</t>
  </si>
  <si>
    <t xml:space="preserve">2017-01</t>
  </si>
  <si>
    <t xml:space="preserve">2017-02</t>
  </si>
  <si>
    <t xml:space="preserve">2017-03</t>
  </si>
  <si>
    <t xml:space="preserve">2017-04</t>
  </si>
  <si>
    <t xml:space="preserve">2017-05</t>
  </si>
  <si>
    <t xml:space="preserve">2017-06</t>
  </si>
  <si>
    <t xml:space="preserve">2017-07</t>
  </si>
  <si>
    <t xml:space="preserve">2017-08</t>
  </si>
  <si>
    <t xml:space="preserve">2017-09</t>
  </si>
  <si>
    <t xml:space="preserve">2017-10</t>
  </si>
  <si>
    <t xml:space="preserve">2017-11</t>
  </si>
  <si>
    <t xml:space="preserve">2017-12</t>
  </si>
  <si>
    <t xml:space="preserve">2018-01</t>
  </si>
  <si>
    <t xml:space="preserve">2018-02</t>
  </si>
  <si>
    <t xml:space="preserve">2018-03</t>
  </si>
  <si>
    <t xml:space="preserve">2018-04</t>
  </si>
  <si>
    <t xml:space="preserve">2018-05</t>
  </si>
  <si>
    <t xml:space="preserve">2018-06</t>
  </si>
  <si>
    <t xml:space="preserve">2018-07</t>
  </si>
  <si>
    <t xml:space="preserve">2018-08</t>
  </si>
  <si>
    <t xml:space="preserve">2018-09</t>
  </si>
  <si>
    <t xml:space="preserve">2018-10</t>
  </si>
  <si>
    <t xml:space="preserve">2018-11</t>
  </si>
  <si>
    <t xml:space="preserve">2018-12</t>
  </si>
  <si>
    <t xml:space="preserve">2019-01</t>
  </si>
  <si>
    <t xml:space="preserve">2019-02</t>
  </si>
  <si>
    <t xml:space="preserve">2019-03</t>
  </si>
  <si>
    <t xml:space="preserve">2019-04</t>
  </si>
  <si>
    <t xml:space="preserve">2019-05</t>
  </si>
  <si>
    <t xml:space="preserve">2019-06</t>
  </si>
  <si>
    <t xml:space="preserve">2019-07</t>
  </si>
  <si>
    <t xml:space="preserve">2019-08</t>
  </si>
  <si>
    <t xml:space="preserve">2019-09</t>
  </si>
  <si>
    <t xml:space="preserve">2019-10</t>
  </si>
  <si>
    <t xml:space="preserve">2019-11</t>
  </si>
  <si>
    <t xml:space="preserve">2019-12</t>
  </si>
  <si>
    <t xml:space="preserve">2020-01</t>
  </si>
  <si>
    <t xml:space="preserve">2020-02</t>
  </si>
  <si>
    <t xml:space="preserve">2020-03</t>
  </si>
  <si>
    <t xml:space="preserve">2020-04</t>
  </si>
  <si>
    <t xml:space="preserve">2020-05</t>
  </si>
  <si>
    <t xml:space="preserve">2020-06</t>
  </si>
  <si>
    <t xml:space="preserve">2020-07</t>
  </si>
  <si>
    <t xml:space="preserve">2020-08</t>
  </si>
  <si>
    <t xml:space="preserve">2020-09</t>
  </si>
  <si>
    <t xml:space="preserve">2020-10</t>
  </si>
  <si>
    <t xml:space="preserve">2020-11</t>
  </si>
  <si>
    <t xml:space="preserve">2020-12</t>
  </si>
  <si>
    <t xml:space="preserve">2021-01</t>
  </si>
  <si>
    <t xml:space="preserve">2021-02</t>
  </si>
  <si>
    <t xml:space="preserve">2021-03</t>
  </si>
  <si>
    <t xml:space="preserve">2021-04</t>
  </si>
  <si>
    <t xml:space="preserve">2021-05</t>
  </si>
  <si>
    <t xml:space="preserve">2021-06</t>
  </si>
  <si>
    <t xml:space="preserve">2021-07</t>
  </si>
  <si>
    <t xml:space="preserve">2021-08</t>
  </si>
  <si>
    <t xml:space="preserve">2021-09</t>
  </si>
  <si>
    <t xml:space="preserve">2021-10</t>
  </si>
  <si>
    <t xml:space="preserve">2021-11</t>
  </si>
  <si>
    <t xml:space="preserve">2021-12</t>
  </si>
  <si>
    <t xml:space="preserve">2022-01</t>
  </si>
  <si>
    <t xml:space="preserve">2022-02</t>
  </si>
  <si>
    <t xml:space="preserve">2022-03</t>
  </si>
  <si>
    <t xml:space="preserve">2022-04</t>
  </si>
  <si>
    <t xml:space="preserve">2022-05</t>
  </si>
  <si>
    <t xml:space="preserve">2022-06</t>
  </si>
  <si>
    <t xml:space="preserve">2022-07</t>
  </si>
  <si>
    <t xml:space="preserve">2022-08</t>
  </si>
  <si>
    <t xml:space="preserve">2022-09</t>
  </si>
  <si>
    <t xml:space="preserve">2022-10</t>
  </si>
  <si>
    <t xml:space="preserve">2022-11</t>
  </si>
  <si>
    <t xml:space="preserve">2022-12</t>
  </si>
  <si>
    <t xml:space="preserve">2023-01</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</si>
  <si>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</si>
  <si>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</si>
  <si>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</si>
  <si>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</si>
  <si>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</si>
  <si>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</si>
  <si>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</si>
  <si>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</si>
  <si>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</si>
  <si>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</si>
  <si>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</si>
  <si>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</si>
  <si>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</si>
  <si>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</si>
  <si>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</si>
  <si>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</si>
  <si>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</si>
  <si>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</si>
  <si>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</si>
  <si>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</si>
  <si>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</si>
  <si>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</si>
  <si>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</si>
  <si>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</si>
  <si>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</si>
  <si>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</si>
  <si>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</si>
  <si>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</si>
  <si>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</si>
  <si>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</si>
  <si>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</si>
  <si>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</si>
  <si>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CAGR (annualised)</t>
  </si>
  <si>
    <t xml:space="preserve">Annualised volatility</t>
  </si>
  <si>
    <t xml:space="preserve">Correlation matrix (raw, from the 120-month series)</t>
  </si>
  <si>
    <t xml:space="preserve">Assumptions</t>
  </si>
  <si>
    <t xml:space="preserve">Asset-class return &amp; volatility (calculated from '2. Market Data', not hand-typed)</t>
  </si>
  <si>
    <t xml:space="preserve">Asset</t>
  </si>
  <si>
    <t xml:space="preserve">Index / instrument</t>
  </si>
  <si>
    <t xml:space="preserve">Expected return (annual)</t>
  </si>
  <si>
    <t xml:space="preserve">Volatility (annual)</t>
  </si>
  <si>
    <t xml:space="preserve">Overnight / liquid-fund category (proxy for a money-market instrument)</t>
  </si>
  <si>
    <t xml:space="preserve">Short-duration debt-fund category (proxy for a diversified bond fund)</t>
  </si>
  <si>
    <t xml:space="preserve">Domestic gold price (INR)</t>
  </si>
  <si>
    <t xml:space="preserve">Residential real-estate price index (representative, India)</t>
  </si>
  <si>
    <t xml:space="preserve">Nifty 100 - PRICE RETURN index (not TRI)</t>
  </si>
  <si>
    <t xml:space="preserve">Nifty Midcap 150 - PRICE RETURN index (not TRI)</t>
  </si>
  <si>
    <t xml:space="preserve">Nifty Smallcap 250 - PRICE RETURN index (not TRI)</t>
  </si>
  <si>
    <t xml:space="preserve">Goal-type inflation assumptions</t>
  </si>
  <si>
    <t xml:space="preserve">Goal type</t>
  </si>
  <si>
    <t xml:space="preserve">Assumed inflation (annual)</t>
  </si>
  <si>
    <t xml:space="preserve">Vacation</t>
  </si>
  <si>
    <t xml:space="preserve">Housing</t>
  </si>
  <si>
    <t xml:space="preserve">Healthcare</t>
  </si>
  <si>
    <t xml:space="preserve">Education</t>
  </si>
  <si>
    <t xml:space="preserve">Marriage</t>
  </si>
  <si>
    <t xml:space="preserve">Others</t>
  </si>
  <si>
    <t xml:space="preserve">'Others' uses the general inflation rate. Education, healthcare and marriage inflate faster than general CPI, which is the commonly used planning convention in India.</t>
  </si>
  <si>
    <t xml:space="preserve">General planning assumptions</t>
  </si>
  <si>
    <t xml:space="preserve">General inflation (CPI)</t>
  </si>
  <si>
    <t xml:space="preserve">Planning safety margin (added to required-return target)</t>
  </si>
  <si>
    <t xml:space="preserve">Risk-free rate (used for Sharpe ratio)</t>
  </si>
  <si>
    <t xml:space="preserve">Retirement corpus multiple (x annual expenses)</t>
  </si>
  <si>
    <t xml:space="preserve">Correlation shrinkage (toward average off-diagonal correlation)</t>
  </si>
  <si>
    <t xml:space="preserve">Monte Carlo simulation paths</t>
  </si>
  <si>
    <t xml:space="preserve">Income bands (representative monthly income, INR)</t>
  </si>
  <si>
    <t xml:space="preserve">Band</t>
  </si>
  <si>
    <t xml:space="preserve">Representative monthly income</t>
  </si>
  <si>
    <t xml:space="preserve">Below Rs 50,000</t>
  </si>
  <si>
    <t xml:space="preserve">Rs 50,000 - 1,00,000</t>
  </si>
  <si>
    <t xml:space="preserve">Rs 1,00,000 - 2,00,000</t>
  </si>
  <si>
    <t xml:space="preserve">Rs 2,00,000 - 3,00,000</t>
  </si>
  <si>
    <t xml:space="preserve">Rs 3,00,000 - 5,00,000</t>
  </si>
  <si>
    <t xml:space="preserve">Rs 5,00,000 - 10,00,000</t>
  </si>
  <si>
    <t xml:space="preserve">Rs 10,00,000 - 15,00,000</t>
  </si>
  <si>
    <t xml:space="preserve">Rs 15,00,000 - 25,00,000</t>
  </si>
  <si>
    <t xml:space="preserve">Rs 25,00,000 - 50,00,000</t>
  </si>
  <si>
    <t xml:space="preserve">Above Rs 50,00,000</t>
  </si>
  <si>
    <t xml:space="preserve">Base expense ratio by income band (before adjustments)</t>
  </si>
  <si>
    <t xml:space="preserve">Base expense ratio</t>
  </si>
  <si>
    <t xml:space="preserve">Expense ratio = base ratio (by income band) + 4% per dependent + housing load + vehicle nudge, then multiplied by the city cost-of-living index, then floored/capped to [25%, 95%] of income - see the worked example in sheet 7 for the full calculation.</t>
  </si>
  <si>
    <t xml:space="preserve">Per-dependent expense-ratio add-on</t>
  </si>
  <si>
    <t xml:space="preserve">Expense-ratio floor / cap</t>
  </si>
  <si>
    <t xml:space="preserve">Housing-situation expense load</t>
  </si>
  <si>
    <t xml:space="preserve">Housing situation</t>
  </si>
  <si>
    <t xml:space="preserve">Expense-ratio load</t>
  </si>
  <si>
    <t xml:space="preserve">Renting</t>
  </si>
  <si>
    <t xml:space="preserve">Own home - with a home loan</t>
  </si>
  <si>
    <t xml:space="preserve">Own home - no loan</t>
  </si>
  <si>
    <t xml:space="preserve">Living with parents / family</t>
  </si>
  <si>
    <t xml:space="preserve">Vehicle lifestyle nudge</t>
  </si>
  <si>
    <t xml:space="preserve">Vehicle</t>
  </si>
  <si>
    <t xml:space="preserve">Expense-ratio nudge</t>
  </si>
  <si>
    <t xml:space="preserve">None</t>
  </si>
  <si>
    <t xml:space="preserve">Two-wheeler</t>
  </si>
  <si>
    <t xml:space="preserve">Entry-level car</t>
  </si>
  <si>
    <t xml:space="preserve">Mid-range car</t>
  </si>
  <si>
    <t xml:space="preserve">Premium car</t>
  </si>
  <si>
    <t xml:space="preserve">City cost-of-living index</t>
  </si>
  <si>
    <t xml:space="preserve">Location tier</t>
  </si>
  <si>
    <t xml:space="preserve">Cost-of-living index</t>
  </si>
  <si>
    <t xml:space="preserve">Tier 1 (metro)</t>
  </si>
  <si>
    <t xml:space="preserve">Tier 2</t>
  </si>
  <si>
    <t xml:space="preserve">Tier 3 / rural</t>
  </si>
  <si>
    <t xml:space="preserve">Risk Scoring &amp; Portfolio-Construction Rules</t>
  </si>
  <si>
    <t xml:space="preserve">Risk aversion (lambda) by recommended profile - used in the MVO objective</t>
  </si>
  <si>
    <t xml:space="preserve">Profile</t>
  </si>
  <si>
    <t xml:space="preserve">Conservative</t>
  </si>
  <si>
    <t xml:space="preserve">Moderate</t>
  </si>
  <si>
    <t xml:space="preserve">Aggressive</t>
  </si>
  <si>
    <t xml:space="preserve">Lambda (risk aversion)</t>
  </si>
  <si>
    <t xml:space="preserve">Maximum equity exposure by time horizon</t>
  </si>
  <si>
    <t xml:space="preserve">Horizon bucket</t>
  </si>
  <si>
    <t xml:space="preserve">Max equity (Large+Mid+Small cap)</t>
  </si>
  <si>
    <t xml:space="preserve">Short</t>
  </si>
  <si>
    <t xml:space="preserve">Medium</t>
  </si>
  <si>
    <t xml:space="preserve">Long</t>
  </si>
  <si>
    <t xml:space="preserve">Short &lt;= 3 years, Medium 3-7 years, Long &gt; 7 years (config.SHORT_MAX_YEARS / MEDIUM_MAX_YEARS).</t>
  </si>
  <si>
    <t xml:space="preserve">Per-asset concentration caps in the MVO solve</t>
  </si>
  <si>
    <t xml:space="preserve">Max weight</t>
  </si>
  <si>
    <t xml:space="preserve">Liquid Fund and Debt Fund are uncapped (100%); every equity sub-asset (Large/Mid/Small cap) carries its own cap so the optimiser cannot crowd one market-cap segment out to 0% just because it has a marginally better risk-adjusted profile under high correlation.</t>
  </si>
  <si>
    <t xml:space="preserve">Risk-score rule</t>
  </si>
  <si>
    <t xml:space="preserve">Score (1-10) = MIN(Willingness, Capacity) - never take more risk than the client is comfortable</t>
  </si>
  <si>
    <t xml:space="preserve">with, or more than their situation can actually afford.</t>
  </si>
  <si>
    <t xml:space="preserve">Willingness = 40% x stated appetite (Low=3, Moderate=6, High=9) + 60% x average of 3 scenario</t>
  </si>
  <si>
    <t xml:space="preserve">quiz answers (each scored 2 / 6 / 10) - behaviour-based answers weigh more than a self-label.</t>
  </si>
  <si>
    <t xml:space="preserve">Capacity = average of 5 points, each scored out of 10:</t>
  </si>
  <si>
    <t xml:space="preserve">  - Age points: &lt;=30 -&gt; 9, &lt;=40 -&gt; 7, &lt;=50 -&gt; 5, &lt;=60 -&gt; 3, else 2</t>
  </si>
  <si>
    <t xml:space="preserve">  - Dependents points: 0 -&gt; 9, 1 -&gt; 7, 2 -&gt; 5, 3+ -&gt; 3</t>
  </si>
  <si>
    <t xml:space="preserve">  - Horizon points: clamp(1 + 0.6 x money-weighted average years to goals, 1, 10)</t>
  </si>
  <si>
    <t xml:space="preserve">  - Emergency-fund points: 2 + 7 x min(1, current emergency savings / recommended target)</t>
  </si>
  <si>
    <t xml:space="preserve">    (this affects ONLY the capacity score - it never reduces the amount invested; see note below)</t>
  </si>
  <si>
    <t xml:space="preserve">  - Employment points: by employment type, minus 2 if EMI burden &gt; 40% of income</t>
  </si>
  <si>
    <t xml:space="preserve">Recommended profile: Conservative if score &lt; 4, Aggressive if score &gt;= 7, else Moderate.</t>
  </si>
  <si>
    <t xml:space="preserve">EMERGENCY FUND IS ADVISORY ONLY</t>
  </si>
  <si>
    <t xml:space="preserve">The emergency fund shortfall/target is shown to the client as a recommendation. It is used ONLY in the capacity score above (as a measure of financial cushion). It is NEVER subtracted from the investable amount, and never enters the portfolio or corpus calculations anywhere in this workbook or in the app.</t>
  </si>
  <si>
    <t xml:space="preserve">Mean-Variance Optimization - worked case: Moderate profile, Medium-term horizon (5 years)</t>
  </si>
  <si>
    <t xml:space="preserve">Objective: maximise  w'mu - 0.5 x lambda x w'(Sigma)w  subject to: weights sum to 100%, no negative weights, equity (Large+Mid+Small cap) &lt;= the horizon's cap, and each asset's own cap (sheet 4). Solved with scipy.optimize.minimize (SLSQP) in the same Python engine (allocation.py) that powers the app - Excel/LibreOffice cannot run this constrained optimisation headlessly, so the solved WEIGHTS below are a documented input; every number below them is a LIVE FORMULA from those weights, so you can verify the arithmetic and see that they beat naive alternatives.</t>
  </si>
  <si>
    <t xml:space="preserve">Shrinkage-adjusted correlation matrix</t>
  </si>
  <si>
    <t xml:space="preserve">Shrinkage factor (alpha, from sheet 3): ='3. Assumptions'!B29</t>
  </si>
  <si>
    <t xml:space="preserve">Average off-diagonal raw correlation</t>
  </si>
  <si>
    <t xml:space="preserve">Covariance matrix (= vol_i x vol_j x shrunk-corr_ij)</t>
  </si>
  <si>
    <t xml:space="preserve">Expected return per asset (from sheet 3)</t>
  </si>
  <si>
    <t xml:space="preserve">SOLVED weights (Mean-Variance-Optimal, Moderate / Medium-horizon) - see sheet 1 for why these are a documented input, not a formula</t>
  </si>
  <si>
    <t xml:space="preserve">Weight</t>
  </si>
  <si>
    <t xml:space="preserve">Check: weights sum to</t>
  </si>
  <si>
    <t xml:space="preserve">Weight outer-product (w_i x w_j)</t>
  </si>
  <si>
    <t xml:space="preserve">Portfolio expected return  (SUMPRODUCT weights x returns)</t>
  </si>
  <si>
    <t xml:space="preserve">Portfolio variance  (SUMPRODUCT outer-product x covariance)</t>
  </si>
  <si>
    <t xml:space="preserve">Portfolio volatility  (= SQRT(variance))</t>
  </si>
  <si>
    <t xml:space="preserve">Sharpe ratio  (return - risk-free) / volatility</t>
  </si>
  <si>
    <t xml:space="preserve">MVO objective  (return - 0.5 x lambda x variance) &lt;- HIGHER IS BETTER</t>
  </si>
  <si>
    <t xml:space="preserve">Comparison: equal-weight portfolio (1/7 each)</t>
  </si>
  <si>
    <t xml:space="preserve">Comparison: 100% Large Cap Mutual Fund</t>
  </si>
  <si>
    <t xml:space="preserve">Result</t>
  </si>
  <si>
    <t xml:space="preserve">The solved weights' objective value, versus the alternatives above:</t>
  </si>
  <si>
    <t xml:space="preserve">Re-solving independently with Excel's own Solver (optional)</t>
  </si>
  <si>
    <t xml:space="preserve">If you have the Solver add-in (Data &gt; Solver), you can re-check this result yourself: Set Objective Cell to the 'SOLVED weights' MVO objective cell above; By Changing Variable Cells, select that block's Weight row (7 cells); Subject to the Constraints: the Weight row sums to 100% (use the 'Check: weights sum to' cell = 100%), each weight &gt;= 0, each weight &lt;= its cap from sheet 4, and the sum of the three equity weights (Large+Mid+Small cap) &lt;= the Medium-horizon equity cap from sheet 4. Choose the GRG Nonlinear solving method. Re-solving should return (very close to) the same weights already shown above.</t>
  </si>
  <si>
    <t xml:space="preserve">Solved Portfolio Weights - all (time-horizon x risk-profile) combinations</t>
  </si>
  <si>
    <t xml:space="preserve">Solved by the same Python Mean-Variance-Optimization engine as the app (scipy.optimize, SLSQP), using the covariance matrix and per-asset/horizon caps from sheets 3-5. See sheet 5 for a fully live-formula worked verification of one of these cases (Moderate / Medium).</t>
  </si>
  <si>
    <t xml:space="preserve">Short-term horizon</t>
  </si>
  <si>
    <t xml:space="preserve">Medium-term horizon</t>
  </si>
  <si>
    <t xml:space="preserve">Long-term horizon</t>
  </si>
  <si>
    <t xml:space="preserve">Combining existing investments with new money</t>
  </si>
  <si>
    <t xml:space="preserve">The client's existing holdings (5 categories) are combined with new money so the OVERALL portfolio - not just the new contribution - moves toward the target mix. The split of new money across the 5 categories is solved (a small quadratic program minimising the combined portfolio's deviation from the target mix); the combination arithmetic itself is a plain weighted average, shown live below with the worked example's numbers.</t>
  </si>
  <si>
    <t xml:space="preserve">Category</t>
  </si>
  <si>
    <t xml:space="preserve">Existing (Rs)</t>
  </si>
  <si>
    <t xml:space="preserve">New money (Rs)</t>
  </si>
  <si>
    <t xml:space="preserve">Combined (Rs)</t>
  </si>
  <si>
    <t xml:space="preserve">Combined mix</t>
  </si>
  <si>
    <t xml:space="preserve">Liquid / Cash</t>
  </si>
  <si>
    <t xml:space="preserve">Debt / Fixed Income</t>
  </si>
  <si>
    <t xml:space="preserve">Mutual Funds (equity)</t>
  </si>
  <si>
    <t xml:space="preserve">Total</t>
  </si>
  <si>
    <t xml:space="preserve">Edit the Existing/New-money columns above and the Combined mix recalculates live - this is exactly what the app's 'existing vs combined mix' display shows.</t>
  </si>
  <si>
    <t xml:space="preserve">Worked Example - one client, computed end-to-end (matches the app for the same inputs)</t>
  </si>
  <si>
    <t xml:space="preserve">1. Client inputs</t>
  </si>
  <si>
    <t xml:space="preserve">Age</t>
  </si>
  <si>
    <t xml:space="preserve">Dependents</t>
  </si>
  <si>
    <t xml:space="preserve">Has retirement goal (age 60)</t>
  </si>
  <si>
    <t xml:space="preserve">Yes</t>
  </si>
  <si>
    <t xml:space="preserve">Retirement age</t>
  </si>
  <si>
    <t xml:space="preserve">Monthly income band</t>
  </si>
  <si>
    <t xml:space="preserve">Employment</t>
  </si>
  <si>
    <t xml:space="preserve">Salaried</t>
  </si>
  <si>
    <t xml:space="preserve">Monthly EMI / loan payments (Rs)</t>
  </si>
  <si>
    <t xml:space="preserve">High-interest debt?</t>
  </si>
  <si>
    <t xml:space="preserve">No</t>
  </si>
  <si>
    <t xml:space="preserve">Existing - Liquid/Cash (Rs)</t>
  </si>
  <si>
    <t xml:space="preserve">Existing - Debt/Fixed Income (Rs)</t>
  </si>
  <si>
    <t xml:space="preserve">Existing - Gold (Rs)</t>
  </si>
  <si>
    <t xml:space="preserve">Existing - Real Estate (Rs)</t>
  </si>
  <si>
    <t xml:space="preserve">Existing - Mutual Funds equity (Rs)</t>
  </si>
  <si>
    <t xml:space="preserve">Emergency savings already set aside (Rs)</t>
  </si>
  <si>
    <t xml:space="preserve">Investment mode</t>
  </si>
  <si>
    <t xml:space="preserve">SIP (monthly)</t>
  </si>
  <si>
    <t xml:space="preserve">SIP amount (Rs/month)</t>
  </si>
  <si>
    <t xml:space="preserve">Stated risk appetite</t>
  </si>
  <si>
    <t xml:space="preserve">Risk quiz average score (of 10)</t>
  </si>
  <si>
    <t xml:space="preserve">2. Estimated income &amp; expenses (from the inputs above, not typed in)</t>
  </si>
  <si>
    <t xml:space="preserve">Monthly income (looked up from the income-band table)</t>
  </si>
  <si>
    <t xml:space="preserve">Base expense ratio (looked up by the same income band)</t>
  </si>
  <si>
    <t xml:space="preserve">+ per-dependent add-on</t>
  </si>
  <si>
    <t xml:space="preserve">+ housing-situation load</t>
  </si>
  <si>
    <t xml:space="preserve">+ vehicle lifestyle nudge</t>
  </si>
  <si>
    <t xml:space="preserve">Raw expense ratio (before city index / cap)</t>
  </si>
  <si>
    <t xml:space="preserve">Final expense ratio (raw x city index, capped to floor/cap)</t>
  </si>
  <si>
    <t xml:space="preserve">Estimated monthly expenses</t>
  </si>
  <si>
    <t xml:space="preserve">3. Goals (today's cost inflated to the goal date)</t>
  </si>
  <si>
    <t xml:space="preserve">Goal</t>
  </si>
  <si>
    <t xml:space="preserve">Cost today (Rs)</t>
  </si>
  <si>
    <t xml:space="preserve">Years to go</t>
  </si>
  <si>
    <t xml:space="preserve">Inflation (looked up)</t>
  </si>
  <si>
    <t xml:space="preserve">Target (future Rs)</t>
  </si>
  <si>
    <t xml:space="preserve">Bali trip (Southeast Asia)</t>
  </si>
  <si>
    <t xml:space="preserve">Child education</t>
  </si>
  <si>
    <t xml:space="preserve">Retirement</t>
  </si>
  <si>
    <t xml:space="preserve">Retirement target = (monthly expenses x 12 x retirement multiple) x (1+general inflation)^years to retirement - computed below since it depends on the expense figure above.</t>
  </si>
  <si>
    <t xml:space="preserve">Retirement (today's annual-expense-based corpus, inflated)</t>
  </si>
  <si>
    <t xml:space="preserve">Verification against the app's Python output for this scenario:</t>
  </si>
  <si>
    <t xml:space="preserve">  Bali trip (Southeast Asia): app target = Rs 1,68,540</t>
  </si>
  <si>
    <t xml:space="preserve">  Child education: app target = Rs 63,44,338</t>
  </si>
  <si>
    <t xml:space="preserve">  Retirement: app target = Rs 20,37,01,248</t>
  </si>
  <si>
    <t xml:space="preserve">4. Risk profile</t>
  </si>
  <si>
    <t xml:space="preserve">Stated appetite score (Low=3 / Moderate=6 / High=9)</t>
  </si>
  <si>
    <t xml:space="preserve">Risk-quiz average score</t>
  </si>
  <si>
    <t xml:space="preserve">Willingness = 40% stated + 60% quiz</t>
  </si>
  <si>
    <t xml:space="preserve">Age points</t>
  </si>
  <si>
    <t xml:space="preserve">Dependents points</t>
  </si>
  <si>
    <t xml:space="preserve">Money-weighted horizon points</t>
  </si>
  <si>
    <t xml:space="preserve">Emergency-fund coverage points</t>
  </si>
  <si>
    <t xml:space="preserve">Employment points</t>
  </si>
  <si>
    <t xml:space="preserve">Capacity = average of the 5 points above</t>
  </si>
  <si>
    <t xml:space="preserve">Risk score = MIN(willingness, capacity)</t>
  </si>
  <si>
    <t xml:space="preserve">Recommended profile</t>
  </si>
  <si>
    <t xml:space="preserve">App's computed score for this scenario: 6.0 -&gt; Moderate</t>
  </si>
  <si>
    <t xml:space="preserve">5. Recommended portfolio mix &amp; expected stats</t>
  </si>
  <si>
    <t xml:space="preserve">The overall mix below blends the solved MVO weights (sheet 6) for each of this client's goals, weighted by how much money is allocated to each goal - the same goal-funding-and-blending logic as the live app. Reproducing that full funding waterfall as spreadsheet formulas is impractical, so this blended mix is pasted directly from the identical Python engine (allocation.py) that powers the app; it will change if goals/profile change and the generation script is re-run. Everything below it (return / volatility / Sharpe) IS a live formula from these weights.</t>
  </si>
  <si>
    <t xml:space="preserve">Recommended weight</t>
  </si>
  <si>
    <t xml:space="preserve">Check: sums to</t>
  </si>
  <si>
    <t xml:space="preserve">Note: may show a figure slightly off 100% - each weight is independently rounded to 1 decimal for display (same as the app), so small roundings do not always cancel exactly.</t>
  </si>
  <si>
    <t xml:space="preserve">Portfolio expected return</t>
  </si>
  <si>
    <t xml:space="preserve">Portfolio volatility (ignores cross-asset correlation - upper-bound estimate)</t>
  </si>
  <si>
    <t xml:space="preserve">App's computed figures for this scenario: expected return 13.51%, volatility 12.08% (the app's volatility uses the full covariance matrix with correlation, shown live for one case on sheet 5, so it is lower than the simplified no-correlation estimate directly above).</t>
  </si>
  <si>
    <t xml:space="preserve">6. Projected corpus (median / weak market / strong market)</t>
  </si>
  <si>
    <t xml:space="preserve">From the app's Monte Carlo simulation (2,000 simulated paths) using the expected return/volatility above. Not reproduced path-by-path in Excel - shown here as the app's output for this exact scenario, for side-by-side comparison.</t>
  </si>
  <si>
    <t xml:space="preserve">Weak market (P10)</t>
  </si>
  <si>
    <t xml:space="preserve">Expected (median)</t>
  </si>
  <si>
    <t xml:space="preserve">Strong market (P90)</t>
  </si>
  <si>
    <t xml:space="preserve">7. Combined portfolio: existing investments + new money</t>
  </si>
  <si>
    <t xml:space="preserve">See sheet 6 ('Combining existing investments with new money') for the live-formula version of this exact client's existing + new + combined mix.</t>
  </si>
</sst>
</file>

<file path=xl/styles.xml><?xml version="1.0" encoding="utf-8"?>
<styleSheet xmlns="http://schemas.openxmlformats.org/spreadsheetml/2006/main">
  <numFmts count="14">
    <numFmt numFmtId="164" formatCode="General"/>
    <numFmt numFmtId="165" formatCode="0.00%"/>
    <numFmt numFmtId="166" formatCode="0.000"/>
    <numFmt numFmtId="167" formatCode="0%"/>
    <numFmt numFmtId="168" formatCode="0.0%"/>
    <numFmt numFmtId="169" formatCode="0"/>
    <numFmt numFmtId="170" formatCode="#,##0"/>
    <numFmt numFmtId="171" formatCode="[$-4009]&quot;Rs &quot;#,##0"/>
    <numFmt numFmtId="172" formatCode="\+0%;\-0%"/>
    <numFmt numFmtId="173" formatCode="0.00"/>
    <numFmt numFmtId="174" formatCode="0.0"/>
    <numFmt numFmtId="175" formatCode="0.00000"/>
    <numFmt numFmtId="176" formatCode="0.0000"/>
    <numFmt numFmtId="177" formatCode="General"/>
  </numFmts>
  <fonts count="24">
    <font>
      <sz val="11"/>
      <color theme="1"/>
      <name val="Calibri"/>
      <family val="2"/>
      <charset val="1"/>
    </font>
    <font>
      <sz val="10"/>
      <name val="Arial"/>
      <family val="0"/>
    </font>
    <font>
      <sz val="10"/>
      <name val="Arial"/>
      <family val="0"/>
    </font>
    <font>
      <sz val="10"/>
      <name val="Arial"/>
      <family val="0"/>
    </font>
    <font>
      <b val="true"/>
      <sz val="16"/>
      <color rgb="FF0E2A43"/>
      <name val="Calibri"/>
      <family val="0"/>
      <charset val="1"/>
    </font>
    <font>
      <b val="true"/>
      <sz val="11"/>
      <color rgb="FF1B4971"/>
      <name val="Calibri"/>
      <family val="0"/>
      <charset val="1"/>
    </font>
    <font>
      <sz val="10"/>
      <name val="Calibri"/>
      <family val="0"/>
      <charset val="1"/>
    </font>
    <font>
      <i val="true"/>
      <sz val="9"/>
      <color rgb="FFC00000"/>
      <name val="Calibri"/>
      <family val="0"/>
      <charset val="1"/>
    </font>
    <font>
      <i val="true"/>
      <sz val="9"/>
      <color rgb="FF555555"/>
      <name val="Calibri"/>
      <family val="0"/>
      <charset val="1"/>
    </font>
    <font>
      <b val="true"/>
      <sz val="11"/>
      <color rgb="FFFFFFFF"/>
      <name val="Calibri"/>
      <family val="0"/>
      <charset val="1"/>
    </font>
    <font>
      <sz val="11"/>
      <color rgb="FF0000FF"/>
      <name val="Calibri"/>
      <family val="0"/>
      <charset val="1"/>
    </font>
    <font>
      <b val="true"/>
      <sz val="11"/>
      <name val="Calibri"/>
      <family val="0"/>
      <charset val="1"/>
    </font>
    <font>
      <sz val="11"/>
      <color rgb="FF000000"/>
      <name val="Calibri"/>
      <family val="0"/>
      <charset val="1"/>
    </font>
    <font>
      <b val="true"/>
      <sz val="13"/>
      <color rgb="FF0E2A43"/>
      <name val="Calibri"/>
      <family val="0"/>
      <charset val="1"/>
    </font>
    <font>
      <sz val="11"/>
      <color rgb="FF008000"/>
      <name val="Calibri"/>
      <family val="0"/>
      <charset val="1"/>
    </font>
    <font>
      <i val="true"/>
      <sz val="10"/>
      <name val="Calibri"/>
      <family val="0"/>
      <charset val="1"/>
    </font>
    <font>
      <b val="true"/>
      <sz val="11"/>
      <color rgb="FFC00000"/>
      <name val="Calibri"/>
      <family val="0"/>
      <charset val="1"/>
    </font>
    <font>
      <b val="true"/>
      <sz val="10"/>
      <name val="Calibri"/>
      <family val="0"/>
      <charset val="1"/>
    </font>
    <font>
      <i val="true"/>
      <sz val="9"/>
      <name val="Calibri"/>
      <family val="0"/>
      <charset val="1"/>
    </font>
    <font>
      <sz val="8"/>
      <color rgb="FF999999"/>
      <name val="Calibri"/>
      <family val="0"/>
      <charset val="1"/>
    </font>
    <font>
      <b val="true"/>
      <sz val="11"/>
      <color rgb="FF008000"/>
      <name val="Calibri"/>
      <family val="0"/>
      <charset val="1"/>
    </font>
    <font>
      <i val="true"/>
      <sz val="10"/>
      <color rgb="FF555555"/>
      <name val="Calibri"/>
      <family val="0"/>
      <charset val="1"/>
    </font>
    <font>
      <i val="true"/>
      <sz val="9"/>
      <color rgb="FF008000"/>
      <name val="Calibri"/>
      <family val="0"/>
      <charset val="1"/>
    </font>
    <font>
      <i val="true"/>
      <sz val="8"/>
      <color rgb="FF888888"/>
      <name val="Calibri"/>
      <family val="0"/>
      <charset val="1"/>
    </font>
  </fonts>
  <fills count="4">
    <fill>
      <patternFill patternType="none"/>
    </fill>
    <fill>
      <patternFill patternType="gray125"/>
    </fill>
    <fill>
      <patternFill patternType="solid">
        <fgColor rgb="FF1B4971"/>
        <bgColor rgb="FF0E2A43"/>
      </patternFill>
    </fill>
    <fill>
      <patternFill patternType="solid">
        <fgColor rgb="FFFFFF00"/>
        <bgColor rgb="FFFFFF00"/>
      </patternFill>
    </fill>
  </fills>
  <borders count="2">
    <border diagonalUp="false" diagonalDown="false">
      <left/>
      <right/>
      <top/>
      <bottom/>
      <diagonal/>
    </border>
    <border diagonalUp="false" diagonalDown="false">
      <left style="thin">
        <color rgb="FFD7E1EC"/>
      </left>
      <right style="thin">
        <color rgb="FFD7E1EC"/>
      </right>
      <top style="thin">
        <color rgb="FFD7E1EC"/>
      </top>
      <bottom style="thin">
        <color rgb="FFD7E1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75" fontId="12" fillId="0" borderId="1" xfId="0" applyFont="true" applyBorder="tru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6" fontId="19" fillId="0" borderId="0" xfId="0" applyFont="true" applyBorder="false" applyAlignment="false" applyProtection="false">
      <alignment horizontal="general" vertical="bottom" textRotation="0" wrapText="false" indent="0" shrinkToFit="false"/>
      <protection locked="true" hidden="false"/>
    </xf>
    <xf numFmtId="175" fontId="12" fillId="0" borderId="0" xfId="0" applyFont="true" applyBorder="fals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77" fontId="11" fillId="3"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FCC"/>
      <rgbColor rgb="FFCCFFFF"/>
      <rgbColor rgb="FF660066"/>
      <rgbColor rgb="FFFF8080"/>
      <rgbColor rgb="FF0066CC"/>
      <rgbColor rgb="FFD7E1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E2A43"/>
      <rgbColor rgb="FF339966"/>
      <rgbColor rgb="FF003300"/>
      <rgbColor rgb="FF333300"/>
      <rgbColor rgb="FF993300"/>
      <rgbColor rgb="FF993366"/>
      <rgbColor rgb="FF1B4971"/>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3" customFormat="false" ht="48" hidden="false" customHeight="true" outlineLevel="0" collapsed="false">
      <c r="A3" s="2" t="s">
        <v>1</v>
      </c>
    </row>
    <row r="5" customFormat="false" ht="15" hidden="false" customHeight="false" outlineLevel="0" collapsed="false">
      <c r="A5" s="3" t="s">
        <v>2</v>
      </c>
    </row>
    <row r="6" customFormat="false" ht="30" hidden="false" customHeight="true" outlineLevel="0" collapsed="false">
      <c r="A6" s="4" t="s">
        <v>3</v>
      </c>
    </row>
    <row r="7" customFormat="false" ht="30" hidden="false" customHeight="true" outlineLevel="0" collapsed="false">
      <c r="A7" s="4" t="s">
        <v>4</v>
      </c>
    </row>
    <row r="8" customFormat="false" ht="15" hidden="false" customHeight="false" outlineLevel="0" collapsed="false">
      <c r="A8" s="4"/>
    </row>
    <row r="9" customFormat="false" ht="15" hidden="false" customHeight="false" outlineLevel="0" collapsed="false">
      <c r="A9" s="3" t="s">
        <v>5</v>
      </c>
    </row>
    <row r="10" customFormat="false" ht="30" hidden="false" customHeight="true" outlineLevel="0" collapsed="false">
      <c r="A10" s="4" t="s">
        <v>6</v>
      </c>
    </row>
    <row r="11" customFormat="false" ht="30" hidden="false" customHeight="true" outlineLevel="0" collapsed="false">
      <c r="A11" s="4" t="s">
        <v>7</v>
      </c>
    </row>
    <row r="12" customFormat="false" ht="30" hidden="false" customHeight="true" outlineLevel="0" collapsed="false">
      <c r="A12" s="4" t="s">
        <v>8</v>
      </c>
    </row>
    <row r="13" customFormat="false" ht="30" hidden="false" customHeight="true" outlineLevel="0" collapsed="false">
      <c r="A13" s="4" t="s">
        <v>9</v>
      </c>
    </row>
    <row r="14" customFormat="false" ht="30" hidden="false" customHeight="true" outlineLevel="0" collapsed="false">
      <c r="A14" s="4" t="s">
        <v>10</v>
      </c>
    </row>
    <row r="15" customFormat="false" ht="30" hidden="false" customHeight="true" outlineLevel="0" collapsed="false">
      <c r="A15" s="4" t="s">
        <v>11</v>
      </c>
    </row>
    <row r="16" customFormat="false" ht="15" hidden="false" customHeight="false" outlineLevel="0" collapsed="false">
      <c r="A16" s="4"/>
    </row>
    <row r="17" customFormat="false" ht="15" hidden="false" customHeight="false" outlineLevel="0" collapsed="false">
      <c r="A17" s="3" t="s">
        <v>12</v>
      </c>
    </row>
    <row r="18" customFormat="false" ht="30" hidden="false" customHeight="true" outlineLevel="0" collapsed="false">
      <c r="A18" s="4" t="s">
        <v>13</v>
      </c>
    </row>
    <row r="20" customFormat="false" ht="90" hidden="false" customHeight="true" outlineLevel="0" collapsed="false">
      <c r="A20" s="5"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8" min="2" style="0" width="16"/>
  </cols>
  <sheetData>
    <row r="1" customFormat="false" ht="19.7" hidden="false" customHeight="false" outlineLevel="0" collapsed="false">
      <c r="A1" s="1" t="s">
        <v>15</v>
      </c>
    </row>
    <row r="2" customFormat="false" ht="48" hidden="false" customHeight="true" outlineLevel="0" collapsed="false">
      <c r="A2" s="6" t="s">
        <v>16</v>
      </c>
    </row>
    <row r="4" customFormat="false" ht="28.35" hidden="false" customHeight="false" outlineLevel="0" collapsed="false">
      <c r="A4" s="7" t="s">
        <v>17</v>
      </c>
      <c r="B4" s="7" t="s">
        <v>18</v>
      </c>
      <c r="C4" s="7" t="s">
        <v>19</v>
      </c>
      <c r="D4" s="7" t="s">
        <v>20</v>
      </c>
      <c r="E4" s="7" t="s">
        <v>21</v>
      </c>
      <c r="F4" s="7" t="s">
        <v>22</v>
      </c>
      <c r="G4" s="7" t="s">
        <v>23</v>
      </c>
      <c r="H4" s="7" t="s">
        <v>24</v>
      </c>
    </row>
    <row r="5" customFormat="false" ht="15" hidden="false" customHeight="false" outlineLevel="0" collapsed="false">
      <c r="A5" s="0" t="s">
        <v>25</v>
      </c>
      <c r="B5" s="8" t="n">
        <v>0.008994</v>
      </c>
      <c r="C5" s="8" t="n">
        <v>-0.006511</v>
      </c>
      <c r="D5" s="8" t="n">
        <v>0.008092</v>
      </c>
      <c r="E5" s="8" t="n">
        <v>0.016913</v>
      </c>
      <c r="F5" s="8" t="n">
        <v>0.031719</v>
      </c>
      <c r="G5" s="8" t="n">
        <v>0.041104</v>
      </c>
      <c r="H5" s="8" t="n">
        <v>0.041189</v>
      </c>
    </row>
    <row r="6" customFormat="false" ht="15" hidden="false" customHeight="false" outlineLevel="0" collapsed="false">
      <c r="A6" s="0" t="s">
        <v>26</v>
      </c>
      <c r="B6" s="8" t="n">
        <v>0.004796</v>
      </c>
      <c r="C6" s="8" t="n">
        <v>0.014491</v>
      </c>
      <c r="D6" s="8" t="n">
        <v>-0.076714</v>
      </c>
      <c r="E6" s="8" t="n">
        <v>-0.011268</v>
      </c>
      <c r="F6" s="8" t="n">
        <v>-0.017867</v>
      </c>
      <c r="G6" s="8" t="n">
        <v>-0.046361</v>
      </c>
      <c r="H6" s="8" t="n">
        <v>-0.070253</v>
      </c>
    </row>
    <row r="7" customFormat="false" ht="15" hidden="false" customHeight="false" outlineLevel="0" collapsed="false">
      <c r="A7" s="0" t="s">
        <v>27</v>
      </c>
      <c r="B7" s="8" t="n">
        <v>0.009175</v>
      </c>
      <c r="C7" s="8" t="n">
        <v>0.009656</v>
      </c>
      <c r="D7" s="8" t="n">
        <v>0.027279</v>
      </c>
      <c r="E7" s="8" t="n">
        <v>0.036365</v>
      </c>
      <c r="F7" s="8" t="n">
        <v>0.028146</v>
      </c>
      <c r="G7" s="8" t="n">
        <v>0.006435</v>
      </c>
      <c r="H7" s="8" t="n">
        <v>-0.001187</v>
      </c>
    </row>
    <row r="8" customFormat="false" ht="15" hidden="false" customHeight="false" outlineLevel="0" collapsed="false">
      <c r="A8" s="0" t="s">
        <v>28</v>
      </c>
      <c r="B8" s="8" t="n">
        <v>-0.001576</v>
      </c>
      <c r="C8" s="8" t="n">
        <v>0.003589</v>
      </c>
      <c r="D8" s="8" t="n">
        <v>0.020619</v>
      </c>
      <c r="E8" s="8" t="n">
        <v>0.022069</v>
      </c>
      <c r="F8" s="8" t="n">
        <v>0.003418</v>
      </c>
      <c r="G8" s="8" t="n">
        <v>0.014915</v>
      </c>
      <c r="H8" s="8" t="n">
        <v>0.029752</v>
      </c>
    </row>
    <row r="9" customFormat="false" ht="15" hidden="false" customHeight="false" outlineLevel="0" collapsed="false">
      <c r="A9" s="0" t="s">
        <v>29</v>
      </c>
      <c r="B9" s="8" t="n">
        <v>0.015164</v>
      </c>
      <c r="C9" s="8" t="n">
        <v>0.017869</v>
      </c>
      <c r="D9" s="8" t="n">
        <v>-0.029872</v>
      </c>
      <c r="E9" s="8" t="n">
        <v>-0.031162</v>
      </c>
      <c r="F9" s="8" t="n">
        <v>0.024175</v>
      </c>
      <c r="G9" s="8" t="n">
        <v>0.050338</v>
      </c>
      <c r="H9" s="8" t="n">
        <v>0.06947</v>
      </c>
    </row>
    <row r="10" customFormat="false" ht="15" hidden="false" customHeight="false" outlineLevel="0" collapsed="false">
      <c r="A10" s="0" t="s">
        <v>30</v>
      </c>
      <c r="B10" s="8" t="n">
        <v>0.005654</v>
      </c>
      <c r="C10" s="8" t="n">
        <v>0.00788</v>
      </c>
      <c r="D10" s="8" t="n">
        <v>0.178423</v>
      </c>
      <c r="E10" s="8" t="n">
        <v>0.05788</v>
      </c>
      <c r="F10" s="8" t="n">
        <v>-0.088074</v>
      </c>
      <c r="G10" s="8" t="n">
        <v>-0.142127</v>
      </c>
      <c r="H10" s="8" t="n">
        <v>-0.178034</v>
      </c>
    </row>
    <row r="11" customFormat="false" ht="15" hidden="false" customHeight="false" outlineLevel="0" collapsed="false">
      <c r="A11" s="0" t="s">
        <v>31</v>
      </c>
      <c r="B11" s="8" t="n">
        <v>0.005888</v>
      </c>
      <c r="C11" s="8" t="n">
        <v>0.019383</v>
      </c>
      <c r="D11" s="8" t="n">
        <v>0.004661</v>
      </c>
      <c r="E11" s="8" t="n">
        <v>-0.024975</v>
      </c>
      <c r="F11" s="8" t="n">
        <v>0.025222</v>
      </c>
      <c r="G11" s="8" t="n">
        <v>0.027892</v>
      </c>
      <c r="H11" s="8" t="n">
        <v>0.043957</v>
      </c>
    </row>
    <row r="12" customFormat="false" ht="15" hidden="false" customHeight="false" outlineLevel="0" collapsed="false">
      <c r="A12" s="0" t="s">
        <v>32</v>
      </c>
      <c r="B12" s="8" t="n">
        <v>0.003868</v>
      </c>
      <c r="C12" s="8" t="n">
        <v>0.012138</v>
      </c>
      <c r="D12" s="8" t="n">
        <v>0.041817</v>
      </c>
      <c r="E12" s="8" t="n">
        <v>0.064735</v>
      </c>
      <c r="F12" s="8" t="n">
        <v>-0.009679</v>
      </c>
      <c r="G12" s="8" t="n">
        <v>0.010856</v>
      </c>
      <c r="H12" s="8" t="n">
        <v>0.011156</v>
      </c>
    </row>
    <row r="13" customFormat="false" ht="15" hidden="false" customHeight="false" outlineLevel="0" collapsed="false">
      <c r="A13" s="0" t="s">
        <v>33</v>
      </c>
      <c r="B13" s="8" t="n">
        <v>-0.001893</v>
      </c>
      <c r="C13" s="8" t="n">
        <v>0.000905</v>
      </c>
      <c r="D13" s="8" t="n">
        <v>0.141889</v>
      </c>
      <c r="E13" s="8" t="n">
        <v>0.071773</v>
      </c>
      <c r="F13" s="8" t="n">
        <v>0.00859</v>
      </c>
      <c r="G13" s="8" t="n">
        <v>0.009614</v>
      </c>
      <c r="H13" s="8" t="n">
        <v>0.016163</v>
      </c>
    </row>
    <row r="14" customFormat="false" ht="15" hidden="false" customHeight="false" outlineLevel="0" collapsed="false">
      <c r="A14" s="0" t="s">
        <v>34</v>
      </c>
      <c r="B14" s="8" t="n">
        <v>0.008396</v>
      </c>
      <c r="C14" s="8" t="n">
        <v>0.013917</v>
      </c>
      <c r="D14" s="8" t="n">
        <v>0.001088</v>
      </c>
      <c r="E14" s="8" t="n">
        <v>0.032823</v>
      </c>
      <c r="F14" s="8" t="n">
        <v>-0.033583</v>
      </c>
      <c r="G14" s="8" t="n">
        <v>-0.037561</v>
      </c>
      <c r="H14" s="8" t="n">
        <v>-0.052954</v>
      </c>
    </row>
    <row r="15" customFormat="false" ht="15" hidden="false" customHeight="false" outlineLevel="0" collapsed="false">
      <c r="A15" s="0" t="s">
        <v>35</v>
      </c>
      <c r="B15" s="8" t="n">
        <v>-0.00375</v>
      </c>
      <c r="C15" s="8" t="n">
        <v>0.00834</v>
      </c>
      <c r="D15" s="8" t="n">
        <v>0.04562</v>
      </c>
      <c r="E15" s="8" t="n">
        <v>0.028779</v>
      </c>
      <c r="F15" s="8" t="n">
        <v>0.082481</v>
      </c>
      <c r="G15" s="8" t="n">
        <v>0.081389</v>
      </c>
      <c r="H15" s="8" t="n">
        <v>0.085374</v>
      </c>
    </row>
    <row r="16" customFormat="false" ht="15" hidden="false" customHeight="false" outlineLevel="0" collapsed="false">
      <c r="A16" s="0" t="s">
        <v>36</v>
      </c>
      <c r="B16" s="8" t="n">
        <v>0.005815</v>
      </c>
      <c r="C16" s="8" t="n">
        <v>-0.008299</v>
      </c>
      <c r="D16" s="8" t="n">
        <v>-0.023562</v>
      </c>
      <c r="E16" s="8" t="n">
        <v>0.014101</v>
      </c>
      <c r="F16" s="8" t="n">
        <v>0.126054</v>
      </c>
      <c r="G16" s="8" t="n">
        <v>0.140579</v>
      </c>
      <c r="H16" s="8" t="n">
        <v>0.156977</v>
      </c>
    </row>
    <row r="17" customFormat="false" ht="15" hidden="false" customHeight="false" outlineLevel="0" collapsed="false">
      <c r="A17" s="0" t="s">
        <v>37</v>
      </c>
      <c r="B17" s="8" t="n">
        <v>0.00414</v>
      </c>
      <c r="C17" s="8" t="n">
        <v>-0.00408</v>
      </c>
      <c r="D17" s="8" t="n">
        <v>0.125715</v>
      </c>
      <c r="E17" s="8" t="n">
        <v>0.055042</v>
      </c>
      <c r="F17" s="8" t="n">
        <v>-0.007908</v>
      </c>
      <c r="G17" s="8" t="n">
        <v>-0.004303</v>
      </c>
      <c r="H17" s="8" t="n">
        <v>0.003707</v>
      </c>
    </row>
    <row r="18" customFormat="false" ht="15" hidden="false" customHeight="false" outlineLevel="0" collapsed="false">
      <c r="A18" s="0" t="s">
        <v>38</v>
      </c>
      <c r="B18" s="8" t="n">
        <v>0.003117</v>
      </c>
      <c r="C18" s="8" t="n">
        <v>0.000607</v>
      </c>
      <c r="D18" s="8" t="n">
        <v>0.023438</v>
      </c>
      <c r="E18" s="8" t="n">
        <v>0.035331</v>
      </c>
      <c r="F18" s="8" t="n">
        <v>-0.03267</v>
      </c>
      <c r="G18" s="8" t="n">
        <v>-0.033381</v>
      </c>
      <c r="H18" s="8" t="n">
        <v>-0.052027</v>
      </c>
    </row>
    <row r="19" customFormat="false" ht="15" hidden="false" customHeight="false" outlineLevel="0" collapsed="false">
      <c r="A19" s="0" t="s">
        <v>39</v>
      </c>
      <c r="B19" s="8" t="n">
        <v>0.010915</v>
      </c>
      <c r="C19" s="8" t="n">
        <v>0.011621</v>
      </c>
      <c r="D19" s="8" t="n">
        <v>-0.01272</v>
      </c>
      <c r="E19" s="8" t="n">
        <v>0.017363</v>
      </c>
      <c r="F19" s="8" t="n">
        <v>0.001249</v>
      </c>
      <c r="G19" s="8" t="n">
        <v>0.005701</v>
      </c>
      <c r="H19" s="8" t="n">
        <v>0.005129</v>
      </c>
    </row>
    <row r="20" customFormat="false" ht="15" hidden="false" customHeight="false" outlineLevel="0" collapsed="false">
      <c r="A20" s="0" t="s">
        <v>40</v>
      </c>
      <c r="B20" s="8" t="n">
        <v>0.008704</v>
      </c>
      <c r="C20" s="8" t="n">
        <v>0.003583</v>
      </c>
      <c r="D20" s="8" t="n">
        <v>-0.023958</v>
      </c>
      <c r="E20" s="8" t="n">
        <v>0.014406</v>
      </c>
      <c r="F20" s="8" t="n">
        <v>0.063961</v>
      </c>
      <c r="G20" s="8" t="n">
        <v>0.060489</v>
      </c>
      <c r="H20" s="8" t="n">
        <v>0.07561</v>
      </c>
    </row>
    <row r="21" customFormat="false" ht="15" hidden="false" customHeight="false" outlineLevel="0" collapsed="false">
      <c r="A21" s="0" t="s">
        <v>41</v>
      </c>
      <c r="B21" s="8" t="n">
        <v>0.012886</v>
      </c>
      <c r="C21" s="8" t="n">
        <v>0.000953</v>
      </c>
      <c r="D21" s="8" t="n">
        <v>-0.007511</v>
      </c>
      <c r="E21" s="8" t="n">
        <v>0.015498</v>
      </c>
      <c r="F21" s="8" t="n">
        <v>0.031583</v>
      </c>
      <c r="G21" s="8" t="n">
        <v>0.035463</v>
      </c>
      <c r="H21" s="8" t="n">
        <v>0.032713</v>
      </c>
    </row>
    <row r="22" customFormat="false" ht="15" hidden="false" customHeight="false" outlineLevel="0" collapsed="false">
      <c r="A22" s="0" t="s">
        <v>42</v>
      </c>
      <c r="B22" s="8" t="n">
        <v>0.002256</v>
      </c>
      <c r="C22" s="8" t="n">
        <v>-0.001456</v>
      </c>
      <c r="D22" s="8" t="n">
        <v>-0.074436</v>
      </c>
      <c r="E22" s="8" t="n">
        <v>-0.014607</v>
      </c>
      <c r="F22" s="8" t="n">
        <v>0.011193</v>
      </c>
      <c r="G22" s="8" t="n">
        <v>0.012738</v>
      </c>
      <c r="H22" s="8" t="n">
        <v>0.017054</v>
      </c>
    </row>
    <row r="23" customFormat="false" ht="15" hidden="false" customHeight="false" outlineLevel="0" collapsed="false">
      <c r="A23" s="0" t="s">
        <v>43</v>
      </c>
      <c r="B23" s="8" t="n">
        <v>0.000802</v>
      </c>
      <c r="C23" s="8" t="n">
        <v>0.003147</v>
      </c>
      <c r="D23" s="8" t="n">
        <v>-0.065413</v>
      </c>
      <c r="E23" s="8" t="n">
        <v>-0.027817</v>
      </c>
      <c r="F23" s="8" t="n">
        <v>0.034438</v>
      </c>
      <c r="G23" s="8" t="n">
        <v>0.065573</v>
      </c>
      <c r="H23" s="8" t="n">
        <v>0.081276</v>
      </c>
    </row>
    <row r="24" customFormat="false" ht="15" hidden="false" customHeight="false" outlineLevel="0" collapsed="false">
      <c r="A24" s="0" t="s">
        <v>44</v>
      </c>
      <c r="B24" s="8" t="n">
        <v>0.000674</v>
      </c>
      <c r="C24" s="8" t="n">
        <v>0.023651</v>
      </c>
      <c r="D24" s="8" t="n">
        <v>0.081419</v>
      </c>
      <c r="E24" s="8" t="n">
        <v>0.012468</v>
      </c>
      <c r="F24" s="8" t="n">
        <v>-0.016816</v>
      </c>
      <c r="G24" s="8" t="n">
        <v>-0.017672</v>
      </c>
      <c r="H24" s="8" t="n">
        <v>-0.03188</v>
      </c>
    </row>
    <row r="25" customFormat="false" ht="15" hidden="false" customHeight="false" outlineLevel="0" collapsed="false">
      <c r="A25" s="0" t="s">
        <v>45</v>
      </c>
      <c r="B25" s="8" t="n">
        <v>-0.001252</v>
      </c>
      <c r="C25" s="8" t="n">
        <v>0.018291</v>
      </c>
      <c r="D25" s="8" t="n">
        <v>-0.008937</v>
      </c>
      <c r="E25" s="8" t="n">
        <v>0.020442</v>
      </c>
      <c r="F25" s="8" t="n">
        <v>-0.011484</v>
      </c>
      <c r="G25" s="8" t="n">
        <v>-0.025752</v>
      </c>
      <c r="H25" s="8" t="n">
        <v>-0.03733</v>
      </c>
    </row>
    <row r="26" customFormat="false" ht="15" hidden="false" customHeight="false" outlineLevel="0" collapsed="false">
      <c r="A26" s="0" t="s">
        <v>46</v>
      </c>
      <c r="B26" s="8" t="n">
        <v>0.008801</v>
      </c>
      <c r="C26" s="8" t="n">
        <v>0.012218</v>
      </c>
      <c r="D26" s="8" t="n">
        <v>0.177942</v>
      </c>
      <c r="E26" s="8" t="n">
        <v>0.051875</v>
      </c>
      <c r="F26" s="8" t="n">
        <v>-0.023107</v>
      </c>
      <c r="G26" s="8" t="n">
        <v>-0.050093</v>
      </c>
      <c r="H26" s="8" t="n">
        <v>-0.063926</v>
      </c>
    </row>
    <row r="27" customFormat="false" ht="15" hidden="false" customHeight="false" outlineLevel="0" collapsed="false">
      <c r="A27" s="0" t="s">
        <v>47</v>
      </c>
      <c r="B27" s="8" t="n">
        <v>-0.001502</v>
      </c>
      <c r="C27" s="8" t="n">
        <v>0.008942</v>
      </c>
      <c r="D27" s="8" t="n">
        <v>-0.005581</v>
      </c>
      <c r="E27" s="8" t="n">
        <v>-0.011454</v>
      </c>
      <c r="F27" s="8" t="n">
        <v>0.025269</v>
      </c>
      <c r="G27" s="8" t="n">
        <v>0.00611</v>
      </c>
      <c r="H27" s="8" t="n">
        <v>-0.002407</v>
      </c>
    </row>
    <row r="28" customFormat="false" ht="15" hidden="false" customHeight="false" outlineLevel="0" collapsed="false">
      <c r="A28" s="0" t="s">
        <v>48</v>
      </c>
      <c r="B28" s="8" t="n">
        <v>0.010779</v>
      </c>
      <c r="C28" s="8" t="n">
        <v>0.01855</v>
      </c>
      <c r="D28" s="8" t="n">
        <v>0.050278</v>
      </c>
      <c r="E28" s="8" t="n">
        <v>-0.016024</v>
      </c>
      <c r="F28" s="8" t="n">
        <v>0.008268</v>
      </c>
      <c r="G28" s="8" t="n">
        <v>-0.002812</v>
      </c>
      <c r="H28" s="8" t="n">
        <v>-0.015527</v>
      </c>
    </row>
    <row r="29" customFormat="false" ht="15" hidden="false" customHeight="false" outlineLevel="0" collapsed="false">
      <c r="A29" s="0" t="s">
        <v>49</v>
      </c>
      <c r="B29" s="8" t="n">
        <v>0.006912</v>
      </c>
      <c r="C29" s="8" t="n">
        <v>0.021398</v>
      </c>
      <c r="D29" s="8" t="n">
        <v>0.060801</v>
      </c>
      <c r="E29" s="8" t="n">
        <v>0.029527</v>
      </c>
      <c r="F29" s="8" t="n">
        <v>0.071161</v>
      </c>
      <c r="G29" s="8" t="n">
        <v>0.092286</v>
      </c>
      <c r="H29" s="8" t="n">
        <v>0.114608</v>
      </c>
    </row>
    <row r="30" customFormat="false" ht="15" hidden="false" customHeight="false" outlineLevel="0" collapsed="false">
      <c r="A30" s="0" t="s">
        <v>50</v>
      </c>
      <c r="B30" s="8" t="n">
        <v>0.010053</v>
      </c>
      <c r="C30" s="8" t="n">
        <v>0.008148</v>
      </c>
      <c r="D30" s="8" t="n">
        <v>-0.008116</v>
      </c>
      <c r="E30" s="8" t="n">
        <v>0.043388</v>
      </c>
      <c r="F30" s="8" t="n">
        <v>0.040365</v>
      </c>
      <c r="G30" s="8" t="n">
        <v>0.067109</v>
      </c>
      <c r="H30" s="8" t="n">
        <v>0.077405</v>
      </c>
    </row>
    <row r="31" customFormat="false" ht="15" hidden="false" customHeight="false" outlineLevel="0" collapsed="false">
      <c r="A31" s="0" t="s">
        <v>51</v>
      </c>
      <c r="B31" s="8" t="n">
        <v>-0.006673</v>
      </c>
      <c r="C31" s="8" t="n">
        <v>0.003775</v>
      </c>
      <c r="D31" s="8" t="n">
        <v>-0.006028</v>
      </c>
      <c r="E31" s="8" t="n">
        <v>0.014332</v>
      </c>
      <c r="F31" s="8" t="n">
        <v>-0.039433</v>
      </c>
      <c r="G31" s="8" t="n">
        <v>-0.052994</v>
      </c>
      <c r="H31" s="8" t="n">
        <v>-0.076957</v>
      </c>
    </row>
    <row r="32" customFormat="false" ht="15" hidden="false" customHeight="false" outlineLevel="0" collapsed="false">
      <c r="A32" s="0" t="s">
        <v>52</v>
      </c>
      <c r="B32" s="8" t="n">
        <v>0.006013</v>
      </c>
      <c r="C32" s="8" t="n">
        <v>-0.005071</v>
      </c>
      <c r="D32" s="8" t="n">
        <v>-0.052711</v>
      </c>
      <c r="E32" s="8" t="n">
        <v>-0.009569</v>
      </c>
      <c r="F32" s="8" t="n">
        <v>0.009869</v>
      </c>
      <c r="G32" s="8" t="n">
        <v>0.00018</v>
      </c>
      <c r="H32" s="8" t="n">
        <v>-0.006239</v>
      </c>
    </row>
    <row r="33" customFormat="false" ht="15" hidden="false" customHeight="false" outlineLevel="0" collapsed="false">
      <c r="A33" s="0" t="s">
        <v>53</v>
      </c>
      <c r="B33" s="8" t="n">
        <v>0.001238</v>
      </c>
      <c r="C33" s="8" t="n">
        <v>-0.004309</v>
      </c>
      <c r="D33" s="8" t="n">
        <v>-0.065988</v>
      </c>
      <c r="E33" s="8" t="n">
        <v>-0.027555</v>
      </c>
      <c r="F33" s="8" t="n">
        <v>-0.012018</v>
      </c>
      <c r="G33" s="8" t="n">
        <v>-0.008864</v>
      </c>
      <c r="H33" s="8" t="n">
        <v>-0.011337</v>
      </c>
    </row>
    <row r="34" customFormat="false" ht="15" hidden="false" customHeight="false" outlineLevel="0" collapsed="false">
      <c r="A34" s="0" t="s">
        <v>54</v>
      </c>
      <c r="B34" s="8" t="n">
        <v>0.007283</v>
      </c>
      <c r="C34" s="8" t="n">
        <v>0.013354</v>
      </c>
      <c r="D34" s="8" t="n">
        <v>-0.093146</v>
      </c>
      <c r="E34" s="8" t="n">
        <v>-0.026428</v>
      </c>
      <c r="F34" s="8" t="n">
        <v>-0.066259</v>
      </c>
      <c r="G34" s="8" t="n">
        <v>-0.054233</v>
      </c>
      <c r="H34" s="8" t="n">
        <v>-0.070521</v>
      </c>
    </row>
    <row r="35" customFormat="false" ht="15" hidden="false" customHeight="false" outlineLevel="0" collapsed="false">
      <c r="A35" s="0" t="s">
        <v>55</v>
      </c>
      <c r="B35" s="8" t="n">
        <v>0.008035</v>
      </c>
      <c r="C35" s="8" t="n">
        <v>-0.004984</v>
      </c>
      <c r="D35" s="8" t="n">
        <v>0.016293</v>
      </c>
      <c r="E35" s="8" t="n">
        <v>0.029572</v>
      </c>
      <c r="F35" s="8" t="n">
        <v>0.00888</v>
      </c>
      <c r="G35" s="8" t="n">
        <v>-0.0148</v>
      </c>
      <c r="H35" s="8" t="n">
        <v>-0.048621</v>
      </c>
    </row>
    <row r="36" customFormat="false" ht="15" hidden="false" customHeight="false" outlineLevel="0" collapsed="false">
      <c r="A36" s="0" t="s">
        <v>56</v>
      </c>
      <c r="B36" s="8" t="n">
        <v>0.004254</v>
      </c>
      <c r="C36" s="8" t="n">
        <v>0.004646</v>
      </c>
      <c r="D36" s="8" t="n">
        <v>0.02275</v>
      </c>
      <c r="E36" s="8" t="n">
        <v>0.013525</v>
      </c>
      <c r="F36" s="8" t="n">
        <v>0.015412</v>
      </c>
      <c r="G36" s="8" t="n">
        <v>-0.007307</v>
      </c>
      <c r="H36" s="8" t="n">
        <v>-0.017249</v>
      </c>
    </row>
    <row r="37" customFormat="false" ht="15" hidden="false" customHeight="false" outlineLevel="0" collapsed="false">
      <c r="A37" s="0" t="s">
        <v>57</v>
      </c>
      <c r="B37" s="8" t="n">
        <v>0.006755</v>
      </c>
      <c r="C37" s="8" t="n">
        <v>0.008747</v>
      </c>
      <c r="D37" s="8" t="n">
        <v>-0.021405</v>
      </c>
      <c r="E37" s="8" t="n">
        <v>0.005752</v>
      </c>
      <c r="F37" s="8" t="n">
        <v>0.006879</v>
      </c>
      <c r="G37" s="8" t="n">
        <v>-0.02791</v>
      </c>
      <c r="H37" s="8" t="n">
        <v>-0.039213</v>
      </c>
    </row>
    <row r="38" customFormat="false" ht="15" hidden="false" customHeight="false" outlineLevel="0" collapsed="false">
      <c r="A38" s="0" t="s">
        <v>58</v>
      </c>
      <c r="B38" s="8" t="n">
        <v>-0.005075</v>
      </c>
      <c r="C38" s="8" t="n">
        <v>-0.015946</v>
      </c>
      <c r="D38" s="8" t="n">
        <v>-0.028148</v>
      </c>
      <c r="E38" s="8" t="n">
        <v>0.007541</v>
      </c>
      <c r="F38" s="8" t="n">
        <v>0.005284</v>
      </c>
      <c r="G38" s="8" t="n">
        <v>0.008503</v>
      </c>
      <c r="H38" s="8" t="n">
        <v>-0.006862</v>
      </c>
    </row>
    <row r="39" customFormat="false" ht="15" hidden="false" customHeight="false" outlineLevel="0" collapsed="false">
      <c r="A39" s="0" t="s">
        <v>59</v>
      </c>
      <c r="B39" s="8" t="n">
        <v>0.012808</v>
      </c>
      <c r="C39" s="8" t="n">
        <v>0.0128</v>
      </c>
      <c r="D39" s="8" t="n">
        <v>0.017851</v>
      </c>
      <c r="E39" s="8" t="n">
        <v>-0.021915</v>
      </c>
      <c r="F39" s="8" t="n">
        <v>-0.068667</v>
      </c>
      <c r="G39" s="8" t="n">
        <v>-0.090113</v>
      </c>
      <c r="H39" s="8" t="n">
        <v>-0.121955</v>
      </c>
    </row>
    <row r="40" customFormat="false" ht="15" hidden="false" customHeight="false" outlineLevel="0" collapsed="false">
      <c r="A40" s="0" t="s">
        <v>60</v>
      </c>
      <c r="B40" s="8" t="n">
        <v>-0.000264</v>
      </c>
      <c r="C40" s="8" t="n">
        <v>0.006347</v>
      </c>
      <c r="D40" s="8" t="n">
        <v>-0.040364</v>
      </c>
      <c r="E40" s="8" t="n">
        <v>0.027309</v>
      </c>
      <c r="F40" s="8" t="n">
        <v>-0.014879</v>
      </c>
      <c r="G40" s="8" t="n">
        <v>-0.008521</v>
      </c>
      <c r="H40" s="8" t="n">
        <v>-0.016459</v>
      </c>
    </row>
    <row r="41" customFormat="false" ht="15" hidden="false" customHeight="false" outlineLevel="0" collapsed="false">
      <c r="A41" s="0" t="s">
        <v>61</v>
      </c>
      <c r="B41" s="8" t="n">
        <v>0.011331</v>
      </c>
      <c r="C41" s="8" t="n">
        <v>-0.001167</v>
      </c>
      <c r="D41" s="8" t="n">
        <v>-0.014872</v>
      </c>
      <c r="E41" s="8" t="n">
        <v>-0.03052</v>
      </c>
      <c r="F41" s="8" t="n">
        <v>-0.048613</v>
      </c>
      <c r="G41" s="8" t="n">
        <v>-0.059528</v>
      </c>
      <c r="H41" s="8" t="n">
        <v>-0.073711</v>
      </c>
    </row>
    <row r="42" customFormat="false" ht="15" hidden="false" customHeight="false" outlineLevel="0" collapsed="false">
      <c r="A42" s="0" t="s">
        <v>62</v>
      </c>
      <c r="B42" s="8" t="n">
        <v>0.00913</v>
      </c>
      <c r="C42" s="8" t="n">
        <v>0.010034</v>
      </c>
      <c r="D42" s="8" t="n">
        <v>-0.024695</v>
      </c>
      <c r="E42" s="8" t="n">
        <v>-0.018353</v>
      </c>
      <c r="F42" s="8" t="n">
        <v>-0.028341</v>
      </c>
      <c r="G42" s="8" t="n">
        <v>-0.045386</v>
      </c>
      <c r="H42" s="8" t="n">
        <v>-0.049468</v>
      </c>
    </row>
    <row r="43" customFormat="false" ht="15" hidden="false" customHeight="false" outlineLevel="0" collapsed="false">
      <c r="A43" s="0" t="s">
        <v>63</v>
      </c>
      <c r="B43" s="8" t="n">
        <v>0.004977</v>
      </c>
      <c r="C43" s="8" t="n">
        <v>-0.000251</v>
      </c>
      <c r="D43" s="8" t="n">
        <v>-0.094895</v>
      </c>
      <c r="E43" s="8" t="n">
        <v>-0.026631</v>
      </c>
      <c r="F43" s="8" t="n">
        <v>0.038148</v>
      </c>
      <c r="G43" s="8" t="n">
        <v>0.05715</v>
      </c>
      <c r="H43" s="8" t="n">
        <v>0.050824</v>
      </c>
    </row>
    <row r="44" customFormat="false" ht="15" hidden="false" customHeight="false" outlineLevel="0" collapsed="false">
      <c r="A44" s="0" t="s">
        <v>64</v>
      </c>
      <c r="B44" s="8" t="n">
        <v>0.006705</v>
      </c>
      <c r="C44" s="8" t="n">
        <v>0.008873</v>
      </c>
      <c r="D44" s="8" t="n">
        <v>0.059883</v>
      </c>
      <c r="E44" s="8" t="n">
        <v>0.004958</v>
      </c>
      <c r="F44" s="8" t="n">
        <v>0.046939</v>
      </c>
      <c r="G44" s="8" t="n">
        <v>0.032408</v>
      </c>
      <c r="H44" s="8" t="n">
        <v>0.034493</v>
      </c>
    </row>
    <row r="45" customFormat="false" ht="15" hidden="false" customHeight="false" outlineLevel="0" collapsed="false">
      <c r="A45" s="0" t="s">
        <v>65</v>
      </c>
      <c r="B45" s="8" t="n">
        <v>0.006986</v>
      </c>
      <c r="C45" s="8" t="n">
        <v>0.002874</v>
      </c>
      <c r="D45" s="8" t="n">
        <v>-0.019672</v>
      </c>
      <c r="E45" s="8" t="n">
        <v>-0.034343</v>
      </c>
      <c r="F45" s="8" t="n">
        <v>0.02337</v>
      </c>
      <c r="G45" s="8" t="n">
        <v>0.036058</v>
      </c>
      <c r="H45" s="8" t="n">
        <v>0.036136</v>
      </c>
    </row>
    <row r="46" customFormat="false" ht="15" hidden="false" customHeight="false" outlineLevel="0" collapsed="false">
      <c r="A46" s="0" t="s">
        <v>66</v>
      </c>
      <c r="B46" s="8" t="n">
        <v>0.000965</v>
      </c>
      <c r="C46" s="8" t="n">
        <v>0.006497</v>
      </c>
      <c r="D46" s="8" t="n">
        <v>-0.083609</v>
      </c>
      <c r="E46" s="8" t="n">
        <v>-0.038796</v>
      </c>
      <c r="F46" s="8" t="n">
        <v>0.028447</v>
      </c>
      <c r="G46" s="8" t="n">
        <v>0.00761</v>
      </c>
      <c r="H46" s="8" t="n">
        <v>0.00942</v>
      </c>
    </row>
    <row r="47" customFormat="false" ht="15" hidden="false" customHeight="false" outlineLevel="0" collapsed="false">
      <c r="A47" s="0" t="s">
        <v>67</v>
      </c>
      <c r="B47" s="8" t="n">
        <v>0.001183</v>
      </c>
      <c r="C47" s="8" t="n">
        <v>-0.012211</v>
      </c>
      <c r="D47" s="8" t="n">
        <v>-0.012205</v>
      </c>
      <c r="E47" s="8" t="n">
        <v>0.015563</v>
      </c>
      <c r="F47" s="8" t="n">
        <v>-0.00989</v>
      </c>
      <c r="G47" s="8" t="n">
        <v>-0.007582</v>
      </c>
      <c r="H47" s="8" t="n">
        <v>-0.007626</v>
      </c>
    </row>
    <row r="48" customFormat="false" ht="15" hidden="false" customHeight="false" outlineLevel="0" collapsed="false">
      <c r="A48" s="0" t="s">
        <v>68</v>
      </c>
      <c r="B48" s="8" t="n">
        <v>0.007284</v>
      </c>
      <c r="C48" s="8" t="n">
        <v>0.014044</v>
      </c>
      <c r="D48" s="8" t="n">
        <v>-0.097385</v>
      </c>
      <c r="E48" s="8" t="n">
        <v>-0.0016</v>
      </c>
      <c r="F48" s="8" t="n">
        <v>0.032812</v>
      </c>
      <c r="G48" s="8" t="n">
        <v>0.045175</v>
      </c>
      <c r="H48" s="8" t="n">
        <v>0.05278</v>
      </c>
    </row>
    <row r="49" customFormat="false" ht="15" hidden="false" customHeight="false" outlineLevel="0" collapsed="false">
      <c r="A49" s="0" t="s">
        <v>69</v>
      </c>
      <c r="B49" s="8" t="n">
        <v>0.007444</v>
      </c>
      <c r="C49" s="8" t="n">
        <v>-0.001878</v>
      </c>
      <c r="D49" s="8" t="n">
        <v>0.012227</v>
      </c>
      <c r="E49" s="8" t="n">
        <v>-0.018825</v>
      </c>
      <c r="F49" s="8" t="n">
        <v>-0.058714</v>
      </c>
      <c r="G49" s="8" t="n">
        <v>-0.087717</v>
      </c>
      <c r="H49" s="8" t="n">
        <v>-0.11051</v>
      </c>
    </row>
    <row r="50" customFormat="false" ht="15" hidden="false" customHeight="false" outlineLevel="0" collapsed="false">
      <c r="A50" s="0" t="s">
        <v>70</v>
      </c>
      <c r="B50" s="8" t="n">
        <v>0.009417</v>
      </c>
      <c r="C50" s="8" t="n">
        <v>-0.004973</v>
      </c>
      <c r="D50" s="8" t="n">
        <v>-0.101274</v>
      </c>
      <c r="E50" s="8" t="n">
        <v>-0.006872</v>
      </c>
      <c r="F50" s="8" t="n">
        <v>-0.042335</v>
      </c>
      <c r="G50" s="8" t="n">
        <v>-0.04121</v>
      </c>
      <c r="H50" s="8" t="n">
        <v>-0.042768</v>
      </c>
    </row>
    <row r="51" customFormat="false" ht="15" hidden="false" customHeight="false" outlineLevel="0" collapsed="false">
      <c r="A51" s="0" t="s">
        <v>71</v>
      </c>
      <c r="B51" s="8" t="n">
        <v>0.000308</v>
      </c>
      <c r="C51" s="8" t="n">
        <v>-0.00949</v>
      </c>
      <c r="D51" s="8" t="n">
        <v>-0.020376</v>
      </c>
      <c r="E51" s="8" t="n">
        <v>0.019078</v>
      </c>
      <c r="F51" s="8" t="n">
        <v>0.062745</v>
      </c>
      <c r="G51" s="8" t="n">
        <v>0.105633</v>
      </c>
      <c r="H51" s="8" t="n">
        <v>0.143352</v>
      </c>
    </row>
    <row r="52" customFormat="false" ht="15" hidden="false" customHeight="false" outlineLevel="0" collapsed="false">
      <c r="A52" s="0" t="s">
        <v>72</v>
      </c>
      <c r="B52" s="8" t="n">
        <v>0.005122</v>
      </c>
      <c r="C52" s="8" t="n">
        <v>0.013135</v>
      </c>
      <c r="D52" s="8" t="n">
        <v>0.017272</v>
      </c>
      <c r="E52" s="8" t="n">
        <v>-0.009073</v>
      </c>
      <c r="F52" s="8" t="n">
        <v>-0.047418</v>
      </c>
      <c r="G52" s="8" t="n">
        <v>-0.105961</v>
      </c>
      <c r="H52" s="8" t="n">
        <v>-0.136644</v>
      </c>
    </row>
    <row r="53" customFormat="false" ht="15" hidden="false" customHeight="false" outlineLevel="0" collapsed="false">
      <c r="A53" s="0" t="s">
        <v>73</v>
      </c>
      <c r="B53" s="8" t="n">
        <v>0.002196</v>
      </c>
      <c r="C53" s="8" t="n">
        <v>0.008177</v>
      </c>
      <c r="D53" s="8" t="n">
        <v>-0.012029</v>
      </c>
      <c r="E53" s="8" t="n">
        <v>0.005548</v>
      </c>
      <c r="F53" s="8" t="n">
        <v>-0.005631</v>
      </c>
      <c r="G53" s="8" t="n">
        <v>-0.03774</v>
      </c>
      <c r="H53" s="8" t="n">
        <v>-0.047896</v>
      </c>
    </row>
    <row r="54" customFormat="false" ht="15" hidden="false" customHeight="false" outlineLevel="0" collapsed="false">
      <c r="A54" s="0" t="s">
        <v>74</v>
      </c>
      <c r="B54" s="8" t="n">
        <v>0.000351</v>
      </c>
      <c r="C54" s="8" t="n">
        <v>0.022307</v>
      </c>
      <c r="D54" s="8" t="n">
        <v>0.072385</v>
      </c>
      <c r="E54" s="8" t="n">
        <v>-0.035753</v>
      </c>
      <c r="F54" s="8" t="n">
        <v>0.045232</v>
      </c>
      <c r="G54" s="8" t="n">
        <v>0.062874</v>
      </c>
      <c r="H54" s="8" t="n">
        <v>0.064496</v>
      </c>
    </row>
    <row r="55" customFormat="false" ht="15" hidden="false" customHeight="false" outlineLevel="0" collapsed="false">
      <c r="A55" s="0" t="s">
        <v>75</v>
      </c>
      <c r="B55" s="8" t="n">
        <v>0.01131</v>
      </c>
      <c r="C55" s="8" t="n">
        <v>0.001757</v>
      </c>
      <c r="D55" s="8" t="n">
        <v>0.050299</v>
      </c>
      <c r="E55" s="8" t="n">
        <v>0.042615</v>
      </c>
      <c r="F55" s="8" t="n">
        <v>0.065439</v>
      </c>
      <c r="G55" s="8" t="n">
        <v>0.089085</v>
      </c>
      <c r="H55" s="8" t="n">
        <v>0.106418</v>
      </c>
    </row>
    <row r="56" customFormat="false" ht="15" hidden="false" customHeight="false" outlineLevel="0" collapsed="false">
      <c r="A56" s="0" t="s">
        <v>76</v>
      </c>
      <c r="B56" s="8" t="n">
        <v>7.7E-005</v>
      </c>
      <c r="C56" s="8" t="n">
        <v>-0.003979</v>
      </c>
      <c r="D56" s="8" t="n">
        <v>0.016067</v>
      </c>
      <c r="E56" s="8" t="n">
        <v>-0.011612</v>
      </c>
      <c r="F56" s="8" t="n">
        <v>-0.014296</v>
      </c>
      <c r="G56" s="8" t="n">
        <v>-0.005392</v>
      </c>
      <c r="H56" s="8" t="n">
        <v>0.000271</v>
      </c>
    </row>
    <row r="57" customFormat="false" ht="15" hidden="false" customHeight="false" outlineLevel="0" collapsed="false">
      <c r="A57" s="0" t="s">
        <v>77</v>
      </c>
      <c r="B57" s="8" t="n">
        <v>0.000792</v>
      </c>
      <c r="C57" s="8" t="n">
        <v>0.003113</v>
      </c>
      <c r="D57" s="8" t="n">
        <v>-0.043585</v>
      </c>
      <c r="E57" s="8" t="n">
        <v>-0.014386</v>
      </c>
      <c r="F57" s="8" t="n">
        <v>0.010446</v>
      </c>
      <c r="G57" s="8" t="n">
        <v>0.001877</v>
      </c>
      <c r="H57" s="8" t="n">
        <v>-0.001649</v>
      </c>
    </row>
    <row r="58" customFormat="false" ht="15" hidden="false" customHeight="false" outlineLevel="0" collapsed="false">
      <c r="A58" s="0" t="s">
        <v>78</v>
      </c>
      <c r="B58" s="8" t="n">
        <v>0.006942</v>
      </c>
      <c r="C58" s="8" t="n">
        <v>0.0009</v>
      </c>
      <c r="D58" s="8" t="n">
        <v>0.056071</v>
      </c>
      <c r="E58" s="8" t="n">
        <v>0.036708</v>
      </c>
      <c r="F58" s="8" t="n">
        <v>0.007008</v>
      </c>
      <c r="G58" s="8" t="n">
        <v>0.007366</v>
      </c>
      <c r="H58" s="8" t="n">
        <v>-0.004851</v>
      </c>
    </row>
    <row r="59" customFormat="false" ht="15" hidden="false" customHeight="false" outlineLevel="0" collapsed="false">
      <c r="A59" s="0" t="s">
        <v>79</v>
      </c>
      <c r="B59" s="8" t="n">
        <v>0.007213</v>
      </c>
      <c r="C59" s="8" t="n">
        <v>0.012728</v>
      </c>
      <c r="D59" s="8" t="n">
        <v>0.013775</v>
      </c>
      <c r="E59" s="8" t="n">
        <v>0.016195</v>
      </c>
      <c r="F59" s="8" t="n">
        <v>-0.037269</v>
      </c>
      <c r="G59" s="8" t="n">
        <v>-0.085975</v>
      </c>
      <c r="H59" s="8" t="n">
        <v>-0.111265</v>
      </c>
    </row>
    <row r="60" customFormat="false" ht="15" hidden="false" customHeight="false" outlineLevel="0" collapsed="false">
      <c r="A60" s="0" t="s">
        <v>80</v>
      </c>
      <c r="B60" s="8" t="n">
        <v>0.006221</v>
      </c>
      <c r="C60" s="8" t="n">
        <v>0.00124</v>
      </c>
      <c r="D60" s="8" t="n">
        <v>0.023031</v>
      </c>
      <c r="E60" s="8" t="n">
        <v>-0.001533</v>
      </c>
      <c r="F60" s="8" t="n">
        <v>0.00069</v>
      </c>
      <c r="G60" s="8" t="n">
        <v>-0.012941</v>
      </c>
      <c r="H60" s="8" t="n">
        <v>-0.030536</v>
      </c>
    </row>
    <row r="61" customFormat="false" ht="15" hidden="false" customHeight="false" outlineLevel="0" collapsed="false">
      <c r="A61" s="0" t="s">
        <v>81</v>
      </c>
      <c r="B61" s="8" t="n">
        <v>0.000177</v>
      </c>
      <c r="C61" s="8" t="n">
        <v>0.00968</v>
      </c>
      <c r="D61" s="8" t="n">
        <v>-0.018443</v>
      </c>
      <c r="E61" s="8" t="n">
        <v>-0.030857</v>
      </c>
      <c r="F61" s="8" t="n">
        <v>-0.107915</v>
      </c>
      <c r="G61" s="8" t="n">
        <v>-0.143682</v>
      </c>
      <c r="H61" s="8" t="n">
        <v>-0.185252</v>
      </c>
    </row>
    <row r="62" customFormat="false" ht="15" hidden="false" customHeight="false" outlineLevel="0" collapsed="false">
      <c r="A62" s="0" t="s">
        <v>82</v>
      </c>
      <c r="B62" s="8" t="n">
        <v>0.00237</v>
      </c>
      <c r="C62" s="8" t="n">
        <v>-0.007396</v>
      </c>
      <c r="D62" s="8" t="n">
        <v>-0.133168</v>
      </c>
      <c r="E62" s="8" t="n">
        <v>-0.015821</v>
      </c>
      <c r="F62" s="8" t="n">
        <v>0.072228</v>
      </c>
      <c r="G62" s="8" t="n">
        <v>0.093568</v>
      </c>
      <c r="H62" s="8" t="n">
        <v>0.110994</v>
      </c>
    </row>
    <row r="63" customFormat="false" ht="15" hidden="false" customHeight="false" outlineLevel="0" collapsed="false">
      <c r="A63" s="0" t="s">
        <v>83</v>
      </c>
      <c r="B63" s="8" t="n">
        <v>-0.001075</v>
      </c>
      <c r="C63" s="8" t="n">
        <v>0.000174</v>
      </c>
      <c r="D63" s="8" t="n">
        <v>-0.061684</v>
      </c>
      <c r="E63" s="8" t="n">
        <v>0.012537</v>
      </c>
      <c r="F63" s="8" t="n">
        <v>-0.000455</v>
      </c>
      <c r="G63" s="8" t="n">
        <v>-0.024839</v>
      </c>
      <c r="H63" s="8" t="n">
        <v>-0.025889</v>
      </c>
    </row>
    <row r="64" customFormat="false" ht="15" hidden="false" customHeight="false" outlineLevel="0" collapsed="false">
      <c r="A64" s="0" t="s">
        <v>84</v>
      </c>
      <c r="B64" s="8" t="n">
        <v>0.003738</v>
      </c>
      <c r="C64" s="8" t="n">
        <v>0.028301</v>
      </c>
      <c r="D64" s="8" t="n">
        <v>0.116971</v>
      </c>
      <c r="E64" s="8" t="n">
        <v>-0.019558</v>
      </c>
      <c r="F64" s="8" t="n">
        <v>-0.037666</v>
      </c>
      <c r="G64" s="8" t="n">
        <v>-0.035454</v>
      </c>
      <c r="H64" s="8" t="n">
        <v>-0.040122</v>
      </c>
    </row>
    <row r="65" customFormat="false" ht="15" hidden="false" customHeight="false" outlineLevel="0" collapsed="false">
      <c r="A65" s="0" t="s">
        <v>85</v>
      </c>
      <c r="B65" s="8" t="n">
        <v>0.008899</v>
      </c>
      <c r="C65" s="8" t="n">
        <v>0.008048</v>
      </c>
      <c r="D65" s="8" t="n">
        <v>0.088731</v>
      </c>
      <c r="E65" s="8" t="n">
        <v>0.003467</v>
      </c>
      <c r="F65" s="8" t="n">
        <v>-0.062727</v>
      </c>
      <c r="G65" s="8" t="n">
        <v>-0.066219</v>
      </c>
      <c r="H65" s="8" t="n">
        <v>-0.088004</v>
      </c>
    </row>
    <row r="66" customFormat="false" ht="15" hidden="false" customHeight="false" outlineLevel="0" collapsed="false">
      <c r="A66" s="0" t="s">
        <v>86</v>
      </c>
      <c r="B66" s="8" t="n">
        <v>0.005842</v>
      </c>
      <c r="C66" s="8" t="n">
        <v>0.006493</v>
      </c>
      <c r="D66" s="8" t="n">
        <v>-0.022306</v>
      </c>
      <c r="E66" s="8" t="n">
        <v>0.022889</v>
      </c>
      <c r="F66" s="8" t="n">
        <v>-0.02936</v>
      </c>
      <c r="G66" s="8" t="n">
        <v>-0.034728</v>
      </c>
      <c r="H66" s="8" t="n">
        <v>-0.033883</v>
      </c>
    </row>
    <row r="67" customFormat="false" ht="15" hidden="false" customHeight="false" outlineLevel="0" collapsed="false">
      <c r="A67" s="0" t="s">
        <v>87</v>
      </c>
      <c r="B67" s="8" t="n">
        <v>0.00876</v>
      </c>
      <c r="C67" s="8" t="n">
        <v>0.012695</v>
      </c>
      <c r="D67" s="8" t="n">
        <v>0.062255</v>
      </c>
      <c r="E67" s="8" t="n">
        <v>0.005332</v>
      </c>
      <c r="F67" s="8" t="n">
        <v>-0.005224</v>
      </c>
      <c r="G67" s="8" t="n">
        <v>-0.019978</v>
      </c>
      <c r="H67" s="8" t="n">
        <v>-0.032493</v>
      </c>
    </row>
    <row r="68" customFormat="false" ht="15" hidden="false" customHeight="false" outlineLevel="0" collapsed="false">
      <c r="A68" s="0" t="s">
        <v>88</v>
      </c>
      <c r="B68" s="8" t="n">
        <v>0.005082</v>
      </c>
      <c r="C68" s="8" t="n">
        <v>0.012529</v>
      </c>
      <c r="D68" s="8" t="n">
        <v>0.085947</v>
      </c>
      <c r="E68" s="8" t="n">
        <v>0.039509</v>
      </c>
      <c r="F68" s="8" t="n">
        <v>0.13216</v>
      </c>
      <c r="G68" s="8" t="n">
        <v>0.147817</v>
      </c>
      <c r="H68" s="8" t="n">
        <v>0.169394</v>
      </c>
    </row>
    <row r="69" customFormat="false" ht="15" hidden="false" customHeight="false" outlineLevel="0" collapsed="false">
      <c r="A69" s="0" t="s">
        <v>89</v>
      </c>
      <c r="B69" s="8" t="n">
        <v>0.011011</v>
      </c>
      <c r="C69" s="8" t="n">
        <v>0.007109</v>
      </c>
      <c r="D69" s="8" t="n">
        <v>0.090672</v>
      </c>
      <c r="E69" s="8" t="n">
        <v>0.0192</v>
      </c>
      <c r="F69" s="8" t="n">
        <v>0.018069</v>
      </c>
      <c r="G69" s="8" t="n">
        <v>0.017413</v>
      </c>
      <c r="H69" s="8" t="n">
        <v>0.018066</v>
      </c>
    </row>
    <row r="70" customFormat="false" ht="15" hidden="false" customHeight="false" outlineLevel="0" collapsed="false">
      <c r="A70" s="0" t="s">
        <v>90</v>
      </c>
      <c r="B70" s="8" t="n">
        <v>0.008729</v>
      </c>
      <c r="C70" s="8" t="n">
        <v>0.024127</v>
      </c>
      <c r="D70" s="8" t="n">
        <v>0.076833</v>
      </c>
      <c r="E70" s="8" t="n">
        <v>0.030586</v>
      </c>
      <c r="F70" s="8" t="n">
        <v>0.085282</v>
      </c>
      <c r="G70" s="8" t="n">
        <v>0.084219</v>
      </c>
      <c r="H70" s="8" t="n">
        <v>0.091854</v>
      </c>
    </row>
    <row r="71" customFormat="false" ht="15" hidden="false" customHeight="false" outlineLevel="0" collapsed="false">
      <c r="A71" s="0" t="s">
        <v>91</v>
      </c>
      <c r="B71" s="8" t="n">
        <v>-0.000382</v>
      </c>
      <c r="C71" s="8" t="n">
        <v>0.003195</v>
      </c>
      <c r="D71" s="8" t="n">
        <v>-0.10945</v>
      </c>
      <c r="E71" s="8" t="n">
        <v>-0.041926</v>
      </c>
      <c r="F71" s="8" t="n">
        <v>-0.03316</v>
      </c>
      <c r="G71" s="8" t="n">
        <v>-0.048741</v>
      </c>
      <c r="H71" s="8" t="n">
        <v>-0.065334</v>
      </c>
    </row>
    <row r="72" customFormat="false" ht="15" hidden="false" customHeight="false" outlineLevel="0" collapsed="false">
      <c r="A72" s="0" t="s">
        <v>92</v>
      </c>
      <c r="B72" s="8" t="n">
        <v>0.005006</v>
      </c>
      <c r="C72" s="8" t="n">
        <v>0.018917</v>
      </c>
      <c r="D72" s="8" t="n">
        <v>0.066416</v>
      </c>
      <c r="E72" s="8" t="n">
        <v>-0.011603</v>
      </c>
      <c r="F72" s="8" t="n">
        <v>-0.016466</v>
      </c>
      <c r="G72" s="8" t="n">
        <v>0.006103</v>
      </c>
      <c r="H72" s="8" t="n">
        <v>0.010442</v>
      </c>
    </row>
    <row r="73" customFormat="false" ht="15" hidden="false" customHeight="false" outlineLevel="0" collapsed="false">
      <c r="A73" s="0" t="s">
        <v>93</v>
      </c>
      <c r="B73" s="8" t="n">
        <v>0.003455</v>
      </c>
      <c r="C73" s="8" t="n">
        <v>0.010286</v>
      </c>
      <c r="D73" s="8" t="n">
        <v>-0.017377</v>
      </c>
      <c r="E73" s="8" t="n">
        <v>0.03658</v>
      </c>
      <c r="F73" s="8" t="n">
        <v>0.05109</v>
      </c>
      <c r="G73" s="8" t="n">
        <v>0.059066</v>
      </c>
      <c r="H73" s="8" t="n">
        <v>0.06197</v>
      </c>
    </row>
    <row r="74" customFormat="false" ht="15" hidden="false" customHeight="false" outlineLevel="0" collapsed="false">
      <c r="A74" s="0" t="s">
        <v>94</v>
      </c>
      <c r="B74" s="8" t="n">
        <v>0.005451</v>
      </c>
      <c r="C74" s="8" t="n">
        <v>0.000275</v>
      </c>
      <c r="D74" s="8" t="n">
        <v>0.056879</v>
      </c>
      <c r="E74" s="8" t="n">
        <v>0.055871</v>
      </c>
      <c r="F74" s="8" t="n">
        <v>-0.010893</v>
      </c>
      <c r="G74" s="8" t="n">
        <v>-0.027729</v>
      </c>
      <c r="H74" s="8" t="n">
        <v>-0.052797</v>
      </c>
    </row>
    <row r="75" customFormat="false" ht="15" hidden="false" customHeight="false" outlineLevel="0" collapsed="false">
      <c r="A75" s="0" t="s">
        <v>95</v>
      </c>
      <c r="B75" s="8" t="n">
        <v>0.00392</v>
      </c>
      <c r="C75" s="8" t="n">
        <v>0.001459</v>
      </c>
      <c r="D75" s="8" t="n">
        <v>-0.004733</v>
      </c>
      <c r="E75" s="8" t="n">
        <v>-0.017935</v>
      </c>
      <c r="F75" s="8" t="n">
        <v>0.049981</v>
      </c>
      <c r="G75" s="8" t="n">
        <v>0.05909</v>
      </c>
      <c r="H75" s="8" t="n">
        <v>0.075961</v>
      </c>
    </row>
    <row r="76" customFormat="false" ht="15" hidden="false" customHeight="false" outlineLevel="0" collapsed="false">
      <c r="A76" s="0" t="s">
        <v>96</v>
      </c>
      <c r="B76" s="8" t="n">
        <v>0.00575</v>
      </c>
      <c r="C76" s="8" t="n">
        <v>0.007168</v>
      </c>
      <c r="D76" s="8" t="n">
        <v>-0.006354</v>
      </c>
      <c r="E76" s="8" t="n">
        <v>0.011823</v>
      </c>
      <c r="F76" s="8" t="n">
        <v>0.033509</v>
      </c>
      <c r="G76" s="8" t="n">
        <v>0.047984</v>
      </c>
      <c r="H76" s="8" t="n">
        <v>0.055186</v>
      </c>
    </row>
    <row r="77" customFormat="false" ht="15" hidden="false" customHeight="false" outlineLevel="0" collapsed="false">
      <c r="A77" s="0" t="s">
        <v>97</v>
      </c>
      <c r="B77" s="8" t="n">
        <v>-0.002151</v>
      </c>
      <c r="C77" s="8" t="n">
        <v>0.0037</v>
      </c>
      <c r="D77" s="8" t="n">
        <v>0.037158</v>
      </c>
      <c r="E77" s="8" t="n">
        <v>0.045129</v>
      </c>
      <c r="F77" s="8" t="n">
        <v>-0.013463</v>
      </c>
      <c r="G77" s="8" t="n">
        <v>-0.004464</v>
      </c>
      <c r="H77" s="8" t="n">
        <v>0.008187</v>
      </c>
    </row>
    <row r="78" customFormat="false" ht="15" hidden="false" customHeight="false" outlineLevel="0" collapsed="false">
      <c r="A78" s="0" t="s">
        <v>98</v>
      </c>
      <c r="B78" s="8" t="n">
        <v>0.001763</v>
      </c>
      <c r="C78" s="8" t="n">
        <v>-0.000376</v>
      </c>
      <c r="D78" s="8" t="n">
        <v>-0.017352</v>
      </c>
      <c r="E78" s="8" t="n">
        <v>0.012583</v>
      </c>
      <c r="F78" s="8" t="n">
        <v>-0.000261</v>
      </c>
      <c r="G78" s="8" t="n">
        <v>0.011754</v>
      </c>
      <c r="H78" s="8" t="n">
        <v>0.020118</v>
      </c>
    </row>
    <row r="79" customFormat="false" ht="15" hidden="false" customHeight="false" outlineLevel="0" collapsed="false">
      <c r="A79" s="0" t="s">
        <v>99</v>
      </c>
      <c r="B79" s="8" t="n">
        <v>0.004864</v>
      </c>
      <c r="C79" s="8" t="n">
        <v>-0.003793</v>
      </c>
      <c r="D79" s="8" t="n">
        <v>0.009508</v>
      </c>
      <c r="E79" s="8" t="n">
        <v>-0.027317</v>
      </c>
      <c r="F79" s="8" t="n">
        <v>0.013928</v>
      </c>
      <c r="G79" s="8" t="n">
        <v>-0.001191</v>
      </c>
      <c r="H79" s="8" t="n">
        <v>0.002916</v>
      </c>
    </row>
    <row r="80" customFormat="false" ht="15" hidden="false" customHeight="false" outlineLevel="0" collapsed="false">
      <c r="A80" s="0" t="s">
        <v>100</v>
      </c>
      <c r="B80" s="8" t="n">
        <v>0.008365</v>
      </c>
      <c r="C80" s="8" t="n">
        <v>0.028811</v>
      </c>
      <c r="D80" s="8" t="n">
        <v>0.072787</v>
      </c>
      <c r="E80" s="8" t="n">
        <v>0.040845</v>
      </c>
      <c r="F80" s="8" t="n">
        <v>0.115321</v>
      </c>
      <c r="G80" s="8" t="n">
        <v>0.186958</v>
      </c>
      <c r="H80" s="8" t="n">
        <v>0.24263</v>
      </c>
    </row>
    <row r="81" customFormat="false" ht="15" hidden="false" customHeight="false" outlineLevel="0" collapsed="false">
      <c r="A81" s="0" t="s">
        <v>101</v>
      </c>
      <c r="B81" s="8" t="n">
        <v>0.010877</v>
      </c>
      <c r="C81" s="8" t="n">
        <v>0.017191</v>
      </c>
      <c r="D81" s="8" t="n">
        <v>0.002088</v>
      </c>
      <c r="E81" s="8" t="n">
        <v>-0.014501</v>
      </c>
      <c r="F81" s="8" t="n">
        <v>0.061286</v>
      </c>
      <c r="G81" s="8" t="n">
        <v>0.045687</v>
      </c>
      <c r="H81" s="8" t="n">
        <v>0.037939</v>
      </c>
    </row>
    <row r="82" customFormat="false" ht="15" hidden="false" customHeight="false" outlineLevel="0" collapsed="false">
      <c r="A82" s="0" t="s">
        <v>102</v>
      </c>
      <c r="B82" s="8" t="n">
        <v>0.007998</v>
      </c>
      <c r="C82" s="8" t="n">
        <v>0.018002</v>
      </c>
      <c r="D82" s="8" t="n">
        <v>-0.05939</v>
      </c>
      <c r="E82" s="8" t="n">
        <v>0.014367</v>
      </c>
      <c r="F82" s="8" t="n">
        <v>0.038569</v>
      </c>
      <c r="G82" s="8" t="n">
        <v>0.03585</v>
      </c>
      <c r="H82" s="8" t="n">
        <v>0.032553</v>
      </c>
    </row>
    <row r="83" customFormat="false" ht="15" hidden="false" customHeight="false" outlineLevel="0" collapsed="false">
      <c r="A83" s="0" t="s">
        <v>103</v>
      </c>
      <c r="B83" s="8" t="n">
        <v>-0.003386</v>
      </c>
      <c r="C83" s="8" t="n">
        <v>0.001609</v>
      </c>
      <c r="D83" s="8" t="n">
        <v>0.001215</v>
      </c>
      <c r="E83" s="8" t="n">
        <v>0.026261</v>
      </c>
      <c r="F83" s="8" t="n">
        <v>0.068536</v>
      </c>
      <c r="G83" s="8" t="n">
        <v>0.048632</v>
      </c>
      <c r="H83" s="8" t="n">
        <v>0.045354</v>
      </c>
    </row>
    <row r="84" customFormat="false" ht="15" hidden="false" customHeight="false" outlineLevel="0" collapsed="false">
      <c r="A84" s="0" t="s">
        <v>104</v>
      </c>
      <c r="B84" s="8" t="n">
        <v>0.009686</v>
      </c>
      <c r="C84" s="8" t="n">
        <v>0.008705</v>
      </c>
      <c r="D84" s="8" t="n">
        <v>0.013118</v>
      </c>
      <c r="E84" s="8" t="n">
        <v>0.006797</v>
      </c>
      <c r="F84" s="8" t="n">
        <v>-0.023232</v>
      </c>
      <c r="G84" s="8" t="n">
        <v>-0.024755</v>
      </c>
      <c r="H84" s="8" t="n">
        <v>-0.037814</v>
      </c>
    </row>
    <row r="85" customFormat="false" ht="15" hidden="false" customHeight="false" outlineLevel="0" collapsed="false">
      <c r="A85" s="0" t="s">
        <v>105</v>
      </c>
      <c r="B85" s="8" t="n">
        <v>0.007725</v>
      </c>
      <c r="C85" s="8" t="n">
        <v>0.003384</v>
      </c>
      <c r="D85" s="8" t="n">
        <v>0.016831</v>
      </c>
      <c r="E85" s="8" t="n">
        <v>0.027523</v>
      </c>
      <c r="F85" s="8" t="n">
        <v>0.045738</v>
      </c>
      <c r="G85" s="8" t="n">
        <v>0.058281</v>
      </c>
      <c r="H85" s="8" t="n">
        <v>0.072291</v>
      </c>
    </row>
    <row r="86" customFormat="false" ht="15" hidden="false" customHeight="false" outlineLevel="0" collapsed="false">
      <c r="A86" s="0" t="s">
        <v>106</v>
      </c>
      <c r="B86" s="8" t="n">
        <v>0.00228</v>
      </c>
      <c r="C86" s="8" t="n">
        <v>0.008218</v>
      </c>
      <c r="D86" s="8" t="n">
        <v>0.02819</v>
      </c>
      <c r="E86" s="8" t="n">
        <v>0.004792</v>
      </c>
      <c r="F86" s="8" t="n">
        <v>-0.010207</v>
      </c>
      <c r="G86" s="8" t="n">
        <v>-0.020937</v>
      </c>
      <c r="H86" s="8" t="n">
        <v>-0.036523</v>
      </c>
    </row>
    <row r="87" customFormat="false" ht="15" hidden="false" customHeight="false" outlineLevel="0" collapsed="false">
      <c r="A87" s="0" t="s">
        <v>107</v>
      </c>
      <c r="B87" s="8" t="n">
        <v>0.005081</v>
      </c>
      <c r="C87" s="8" t="n">
        <v>2.6E-005</v>
      </c>
      <c r="D87" s="8" t="n">
        <v>0.036649</v>
      </c>
      <c r="E87" s="8" t="n">
        <v>0.020936</v>
      </c>
      <c r="F87" s="8" t="n">
        <v>-0.018155</v>
      </c>
      <c r="G87" s="8" t="n">
        <v>-0.002488</v>
      </c>
      <c r="H87" s="8" t="n">
        <v>0.000858</v>
      </c>
    </row>
    <row r="88" customFormat="false" ht="15" hidden="false" customHeight="false" outlineLevel="0" collapsed="false">
      <c r="A88" s="0" t="s">
        <v>108</v>
      </c>
      <c r="B88" s="8" t="n">
        <v>0.010354</v>
      </c>
      <c r="C88" s="8" t="n">
        <v>-0.00171</v>
      </c>
      <c r="D88" s="8" t="n">
        <v>0.013835</v>
      </c>
      <c r="E88" s="8" t="n">
        <v>0.002256</v>
      </c>
      <c r="F88" s="8" t="n">
        <v>-0.041663</v>
      </c>
      <c r="G88" s="8" t="n">
        <v>-0.036837</v>
      </c>
      <c r="H88" s="8" t="n">
        <v>-0.046439</v>
      </c>
    </row>
    <row r="89" customFormat="false" ht="15" hidden="false" customHeight="false" outlineLevel="0" collapsed="false">
      <c r="A89" s="0" t="s">
        <v>109</v>
      </c>
      <c r="B89" s="8" t="n">
        <v>0.006388</v>
      </c>
      <c r="C89" s="8" t="n">
        <v>0.011084</v>
      </c>
      <c r="D89" s="8" t="n">
        <v>0.065351</v>
      </c>
      <c r="E89" s="8" t="n">
        <v>0.032821</v>
      </c>
      <c r="F89" s="8" t="n">
        <v>-0.022314</v>
      </c>
      <c r="G89" s="8" t="n">
        <v>-0.028706</v>
      </c>
      <c r="H89" s="8" t="n">
        <v>-0.042974</v>
      </c>
    </row>
    <row r="90" customFormat="false" ht="15" hidden="false" customHeight="false" outlineLevel="0" collapsed="false">
      <c r="A90" s="0" t="s">
        <v>110</v>
      </c>
      <c r="B90" s="8" t="n">
        <v>0.00409</v>
      </c>
      <c r="C90" s="8" t="n">
        <v>0.003786</v>
      </c>
      <c r="D90" s="8" t="n">
        <v>0.074427</v>
      </c>
      <c r="E90" s="8" t="n">
        <v>0.031067</v>
      </c>
      <c r="F90" s="8" t="n">
        <v>0.031472</v>
      </c>
      <c r="G90" s="8" t="n">
        <v>0.043741</v>
      </c>
      <c r="H90" s="8" t="n">
        <v>0.053594</v>
      </c>
    </row>
    <row r="91" customFormat="false" ht="15" hidden="false" customHeight="false" outlineLevel="0" collapsed="false">
      <c r="A91" s="0" t="s">
        <v>111</v>
      </c>
      <c r="B91" s="8" t="n">
        <v>0.003017</v>
      </c>
      <c r="C91" s="8" t="n">
        <v>-0.000465</v>
      </c>
      <c r="D91" s="8" t="n">
        <v>-0.104315</v>
      </c>
      <c r="E91" s="8" t="n">
        <v>-0.016524</v>
      </c>
      <c r="F91" s="8" t="n">
        <v>0.000658</v>
      </c>
      <c r="G91" s="8" t="n">
        <v>-0.021213</v>
      </c>
      <c r="H91" s="8" t="n">
        <v>-0.029764</v>
      </c>
    </row>
    <row r="92" customFormat="false" ht="15" hidden="false" customHeight="false" outlineLevel="0" collapsed="false">
      <c r="A92" s="0" t="s">
        <v>112</v>
      </c>
      <c r="B92" s="8" t="n">
        <v>-0.003207</v>
      </c>
      <c r="C92" s="8" t="n">
        <v>0.006451</v>
      </c>
      <c r="D92" s="8" t="n">
        <v>0.030289</v>
      </c>
      <c r="E92" s="8" t="n">
        <v>0.006381</v>
      </c>
      <c r="F92" s="8" t="n">
        <v>0.012934</v>
      </c>
      <c r="G92" s="8" t="n">
        <v>0.021393</v>
      </c>
      <c r="H92" s="8" t="n">
        <v>0.018597</v>
      </c>
    </row>
    <row r="93" customFormat="false" ht="15" hidden="false" customHeight="false" outlineLevel="0" collapsed="false">
      <c r="A93" s="0" t="s">
        <v>113</v>
      </c>
      <c r="B93" s="8" t="n">
        <v>0.004277</v>
      </c>
      <c r="C93" s="8" t="n">
        <v>0.004552</v>
      </c>
      <c r="D93" s="8" t="n">
        <v>-0.120948</v>
      </c>
      <c r="E93" s="8" t="n">
        <v>0.007074</v>
      </c>
      <c r="F93" s="8" t="n">
        <v>0.104625</v>
      </c>
      <c r="G93" s="8" t="n">
        <v>0.136582</v>
      </c>
      <c r="H93" s="8" t="n">
        <v>0.159748</v>
      </c>
    </row>
    <row r="94" customFormat="false" ht="15" hidden="false" customHeight="false" outlineLevel="0" collapsed="false">
      <c r="A94" s="0" t="s">
        <v>114</v>
      </c>
      <c r="B94" s="8" t="n">
        <v>0.012437</v>
      </c>
      <c r="C94" s="8" t="n">
        <v>0.018393</v>
      </c>
      <c r="D94" s="8" t="n">
        <v>-0.093181</v>
      </c>
      <c r="E94" s="8" t="n">
        <v>0.010806</v>
      </c>
      <c r="F94" s="8" t="n">
        <v>-0.012244</v>
      </c>
      <c r="G94" s="8" t="n">
        <v>-0.02563</v>
      </c>
      <c r="H94" s="8" t="n">
        <v>-0.033683</v>
      </c>
    </row>
    <row r="95" customFormat="false" ht="15" hidden="false" customHeight="false" outlineLevel="0" collapsed="false">
      <c r="A95" s="0" t="s">
        <v>115</v>
      </c>
      <c r="B95" s="8" t="n">
        <v>0.001579</v>
      </c>
      <c r="C95" s="8" t="n">
        <v>0.007473</v>
      </c>
      <c r="D95" s="8" t="n">
        <v>0.131966</v>
      </c>
      <c r="E95" s="8" t="n">
        <v>0.052002</v>
      </c>
      <c r="F95" s="8" t="n">
        <v>0.015679</v>
      </c>
      <c r="G95" s="8" t="n">
        <v>0.011881</v>
      </c>
      <c r="H95" s="8" t="n">
        <v>-0.001671</v>
      </c>
    </row>
    <row r="96" customFormat="false" ht="15" hidden="false" customHeight="false" outlineLevel="0" collapsed="false">
      <c r="A96" s="0" t="s">
        <v>116</v>
      </c>
      <c r="B96" s="8" t="n">
        <v>0.00059</v>
      </c>
      <c r="C96" s="8" t="n">
        <v>0.003195</v>
      </c>
      <c r="D96" s="8" t="n">
        <v>0.051996</v>
      </c>
      <c r="E96" s="8" t="n">
        <v>0.006377</v>
      </c>
      <c r="F96" s="8" t="n">
        <v>-0.004817</v>
      </c>
      <c r="G96" s="8" t="n">
        <v>0.043935</v>
      </c>
      <c r="H96" s="8" t="n">
        <v>0.040464</v>
      </c>
    </row>
    <row r="97" customFormat="false" ht="15" hidden="false" customHeight="false" outlineLevel="0" collapsed="false">
      <c r="A97" s="0" t="s">
        <v>117</v>
      </c>
      <c r="B97" s="8" t="n">
        <v>0.000697</v>
      </c>
      <c r="C97" s="8" t="n">
        <v>-0.002983</v>
      </c>
      <c r="D97" s="8" t="n">
        <v>-0.023092</v>
      </c>
      <c r="E97" s="8" t="n">
        <v>-0.00215</v>
      </c>
      <c r="F97" s="8" t="n">
        <v>0.032441</v>
      </c>
      <c r="G97" s="8" t="n">
        <v>0.062692</v>
      </c>
      <c r="H97" s="8" t="n">
        <v>0.07919</v>
      </c>
    </row>
    <row r="98" customFormat="false" ht="15" hidden="false" customHeight="false" outlineLevel="0" collapsed="false">
      <c r="A98" s="0" t="s">
        <v>118</v>
      </c>
      <c r="B98" s="8" t="n">
        <v>-0.000592</v>
      </c>
      <c r="C98" s="8" t="n">
        <v>0.007019</v>
      </c>
      <c r="D98" s="8" t="n">
        <v>-0.070782</v>
      </c>
      <c r="E98" s="8" t="n">
        <v>-0.028855</v>
      </c>
      <c r="F98" s="8" t="n">
        <v>0.00978</v>
      </c>
      <c r="G98" s="8" t="n">
        <v>0.035373</v>
      </c>
      <c r="H98" s="8" t="n">
        <v>0.028707</v>
      </c>
    </row>
    <row r="99" customFormat="false" ht="15" hidden="false" customHeight="false" outlineLevel="0" collapsed="false">
      <c r="A99" s="0" t="s">
        <v>119</v>
      </c>
      <c r="B99" s="8" t="n">
        <v>-0.002327</v>
      </c>
      <c r="C99" s="8" t="n">
        <v>0.00455</v>
      </c>
      <c r="D99" s="8" t="n">
        <v>-0.013673</v>
      </c>
      <c r="E99" s="8" t="n">
        <v>-0.014383</v>
      </c>
      <c r="F99" s="8" t="n">
        <v>-0.004002</v>
      </c>
      <c r="G99" s="8" t="n">
        <v>-0.006491</v>
      </c>
      <c r="H99" s="8" t="n">
        <v>-0.005438</v>
      </c>
    </row>
    <row r="100" customFormat="false" ht="15" hidden="false" customHeight="false" outlineLevel="0" collapsed="false">
      <c r="A100" s="0" t="s">
        <v>120</v>
      </c>
      <c r="B100" s="8" t="n">
        <v>0.005569</v>
      </c>
      <c r="C100" s="8" t="n">
        <v>-0.008781</v>
      </c>
      <c r="D100" s="8" t="n">
        <v>-0.124318</v>
      </c>
      <c r="E100" s="8" t="n">
        <v>-0.002839</v>
      </c>
      <c r="F100" s="8" t="n">
        <v>0.017972</v>
      </c>
      <c r="G100" s="8" t="n">
        <v>0.034756</v>
      </c>
      <c r="H100" s="8" t="n">
        <v>0.038091</v>
      </c>
    </row>
    <row r="101" customFormat="false" ht="15" hidden="false" customHeight="false" outlineLevel="0" collapsed="false">
      <c r="A101" s="0" t="s">
        <v>121</v>
      </c>
      <c r="B101" s="8" t="n">
        <v>0.011269</v>
      </c>
      <c r="C101" s="8" t="n">
        <v>0.013166</v>
      </c>
      <c r="D101" s="8" t="n">
        <v>0.113918</v>
      </c>
      <c r="E101" s="8" t="n">
        <v>0.028567</v>
      </c>
      <c r="F101" s="8" t="n">
        <v>0.046886</v>
      </c>
      <c r="G101" s="8" t="n">
        <v>0.091285</v>
      </c>
      <c r="H101" s="8" t="n">
        <v>0.105837</v>
      </c>
    </row>
    <row r="102" customFormat="false" ht="15" hidden="false" customHeight="false" outlineLevel="0" collapsed="false">
      <c r="A102" s="0" t="s">
        <v>122</v>
      </c>
      <c r="B102" s="8" t="n">
        <v>0.001984</v>
      </c>
      <c r="C102" s="8" t="n">
        <v>0.009282</v>
      </c>
      <c r="D102" s="8" t="n">
        <v>0.04996</v>
      </c>
      <c r="E102" s="8" t="n">
        <v>0.031738</v>
      </c>
      <c r="F102" s="8" t="n">
        <v>0.042879</v>
      </c>
      <c r="G102" s="8" t="n">
        <v>0.031691</v>
      </c>
      <c r="H102" s="8" t="n">
        <v>0.019582</v>
      </c>
    </row>
    <row r="103" customFormat="false" ht="15" hidden="false" customHeight="false" outlineLevel="0" collapsed="false">
      <c r="A103" s="0" t="s">
        <v>123</v>
      </c>
      <c r="B103" s="8" t="n">
        <v>0.000331</v>
      </c>
      <c r="C103" s="8" t="n">
        <v>-0.003844</v>
      </c>
      <c r="D103" s="8" t="n">
        <v>0.078855</v>
      </c>
      <c r="E103" s="8" t="n">
        <v>0.03623</v>
      </c>
      <c r="F103" s="8" t="n">
        <v>0.055232</v>
      </c>
      <c r="G103" s="8" t="n">
        <v>0.069588</v>
      </c>
      <c r="H103" s="8" t="n">
        <v>0.070959</v>
      </c>
    </row>
    <row r="104" customFormat="false" ht="15" hidden="false" customHeight="false" outlineLevel="0" collapsed="false">
      <c r="A104" s="0" t="s">
        <v>124</v>
      </c>
      <c r="B104" s="8" t="n">
        <v>0.005498</v>
      </c>
      <c r="C104" s="8" t="n">
        <v>0.008484</v>
      </c>
      <c r="D104" s="8" t="n">
        <v>0.044641</v>
      </c>
      <c r="E104" s="8" t="n">
        <v>-0.000578</v>
      </c>
      <c r="F104" s="8" t="n">
        <v>-0.017488</v>
      </c>
      <c r="G104" s="8" t="n">
        <v>0.009217</v>
      </c>
      <c r="H104" s="8" t="n">
        <v>0.014569</v>
      </c>
    </row>
    <row r="105" customFormat="false" ht="15" hidden="false" customHeight="false" outlineLevel="0" collapsed="false">
      <c r="A105" s="0" t="s">
        <v>125</v>
      </c>
      <c r="B105" s="8" t="n">
        <v>0.005974</v>
      </c>
      <c r="C105" s="8" t="n">
        <v>-0.000873</v>
      </c>
      <c r="D105" s="8" t="n">
        <v>0.058494</v>
      </c>
      <c r="E105" s="8" t="n">
        <v>0.059432</v>
      </c>
      <c r="F105" s="8" t="n">
        <v>0.00802</v>
      </c>
      <c r="G105" s="8" t="n">
        <v>0.006672</v>
      </c>
      <c r="H105" s="8" t="n">
        <v>-0.006379</v>
      </c>
    </row>
    <row r="106" customFormat="false" ht="15" hidden="false" customHeight="false" outlineLevel="0" collapsed="false">
      <c r="A106" s="0" t="s">
        <v>126</v>
      </c>
      <c r="B106" s="8" t="n">
        <v>-0.001289</v>
      </c>
      <c r="C106" s="8" t="n">
        <v>-0.004508</v>
      </c>
      <c r="D106" s="8" t="n">
        <v>0.002912</v>
      </c>
      <c r="E106" s="8" t="n">
        <v>0.029216</v>
      </c>
      <c r="F106" s="8" t="n">
        <v>0.018579</v>
      </c>
      <c r="G106" s="8" t="n">
        <v>-0.000517</v>
      </c>
      <c r="H106" s="8" t="n">
        <v>0.00473</v>
      </c>
    </row>
    <row r="107" customFormat="false" ht="15" hidden="false" customHeight="false" outlineLevel="0" collapsed="false">
      <c r="A107" s="0" t="s">
        <v>127</v>
      </c>
      <c r="B107" s="8" t="n">
        <v>0.005045</v>
      </c>
      <c r="C107" s="8" t="n">
        <v>0.010566</v>
      </c>
      <c r="D107" s="8" t="n">
        <v>-0.001139</v>
      </c>
      <c r="E107" s="8" t="n">
        <v>0.028746</v>
      </c>
      <c r="F107" s="8" t="n">
        <v>-0.014418</v>
      </c>
      <c r="G107" s="8" t="n">
        <v>-0.003514</v>
      </c>
      <c r="H107" s="8" t="n">
        <v>-0.004552</v>
      </c>
    </row>
    <row r="108" customFormat="false" ht="15" hidden="false" customHeight="false" outlineLevel="0" collapsed="false">
      <c r="A108" s="0" t="s">
        <v>128</v>
      </c>
      <c r="B108" s="8" t="n">
        <v>0.002846</v>
      </c>
      <c r="C108" s="8" t="n">
        <v>0.006256</v>
      </c>
      <c r="D108" s="8" t="n">
        <v>0.063754</v>
      </c>
      <c r="E108" s="8" t="n">
        <v>0.004182</v>
      </c>
      <c r="F108" s="8" t="n">
        <v>0.04121</v>
      </c>
      <c r="G108" s="8" t="n">
        <v>0.03548</v>
      </c>
      <c r="H108" s="8" t="n">
        <v>0.046514</v>
      </c>
    </row>
    <row r="109" customFormat="false" ht="15" hidden="false" customHeight="false" outlineLevel="0" collapsed="false">
      <c r="A109" s="0" t="s">
        <v>129</v>
      </c>
      <c r="B109" s="8" t="n">
        <v>0.003653</v>
      </c>
      <c r="C109" s="8" t="n">
        <v>0.010335</v>
      </c>
      <c r="D109" s="8" t="n">
        <v>0.107438</v>
      </c>
      <c r="E109" s="8" t="n">
        <v>0.020824</v>
      </c>
      <c r="F109" s="8" t="n">
        <v>0.070015</v>
      </c>
      <c r="G109" s="8" t="n">
        <v>0.08721</v>
      </c>
      <c r="H109" s="8" t="n">
        <v>0.099052</v>
      </c>
    </row>
    <row r="110" customFormat="false" ht="15" hidden="false" customHeight="false" outlineLevel="0" collapsed="false">
      <c r="A110" s="0" t="s">
        <v>130</v>
      </c>
      <c r="B110" s="8" t="n">
        <v>0.002928</v>
      </c>
      <c r="C110" s="8" t="n">
        <v>-0.001265</v>
      </c>
      <c r="D110" s="8" t="n">
        <v>-0.026288</v>
      </c>
      <c r="E110" s="8" t="n">
        <v>-0.040838</v>
      </c>
      <c r="F110" s="8" t="n">
        <v>0.064659</v>
      </c>
      <c r="G110" s="8" t="n">
        <v>0.063721</v>
      </c>
      <c r="H110" s="8" t="n">
        <v>0.0585</v>
      </c>
    </row>
    <row r="111" customFormat="false" ht="15" hidden="false" customHeight="false" outlineLevel="0" collapsed="false">
      <c r="A111" s="0" t="s">
        <v>131</v>
      </c>
      <c r="B111" s="8" t="n">
        <v>0.004792</v>
      </c>
      <c r="C111" s="8" t="n">
        <v>-0.006984</v>
      </c>
      <c r="D111" s="8" t="n">
        <v>0.060006</v>
      </c>
      <c r="E111" s="8" t="n">
        <v>0.03649</v>
      </c>
      <c r="F111" s="8" t="n">
        <v>0.052295</v>
      </c>
      <c r="G111" s="8" t="n">
        <v>0.040028</v>
      </c>
      <c r="H111" s="8" t="n">
        <v>0.041849</v>
      </c>
    </row>
    <row r="112" customFormat="false" ht="15" hidden="false" customHeight="false" outlineLevel="0" collapsed="false">
      <c r="A112" s="0" t="s">
        <v>132</v>
      </c>
      <c r="B112" s="8" t="n">
        <v>0.003629</v>
      </c>
      <c r="C112" s="8" t="n">
        <v>0.026616</v>
      </c>
      <c r="D112" s="8" t="n">
        <v>-8.3E-005</v>
      </c>
      <c r="E112" s="8" t="n">
        <v>0.025522</v>
      </c>
      <c r="F112" s="8" t="n">
        <v>0.015048</v>
      </c>
      <c r="G112" s="8" t="n">
        <v>0.026643</v>
      </c>
      <c r="H112" s="8" t="n">
        <v>0.042892</v>
      </c>
    </row>
    <row r="113" customFormat="false" ht="15" hidden="false" customHeight="false" outlineLevel="0" collapsed="false">
      <c r="A113" s="0" t="s">
        <v>133</v>
      </c>
      <c r="B113" s="8" t="n">
        <v>-0.001418</v>
      </c>
      <c r="C113" s="8" t="n">
        <v>0.004796</v>
      </c>
      <c r="D113" s="8" t="n">
        <v>-0.027747</v>
      </c>
      <c r="E113" s="8" t="n">
        <v>0.023344</v>
      </c>
      <c r="F113" s="8" t="n">
        <v>0.011243</v>
      </c>
      <c r="G113" s="8" t="n">
        <v>0.01517</v>
      </c>
      <c r="H113" s="8" t="n">
        <v>0.021551</v>
      </c>
    </row>
    <row r="114" customFormat="false" ht="15" hidden="false" customHeight="false" outlineLevel="0" collapsed="false">
      <c r="A114" s="0" t="s">
        <v>134</v>
      </c>
      <c r="B114" s="8" t="n">
        <v>0.005182</v>
      </c>
      <c r="C114" s="8" t="n">
        <v>-0.005251</v>
      </c>
      <c r="D114" s="8" t="n">
        <v>-0.013372</v>
      </c>
      <c r="E114" s="8" t="n">
        <v>0.004978</v>
      </c>
      <c r="F114" s="8" t="n">
        <v>-0.000321</v>
      </c>
      <c r="G114" s="8" t="n">
        <v>0.011927</v>
      </c>
      <c r="H114" s="8" t="n">
        <v>0.016068</v>
      </c>
    </row>
    <row r="115" customFormat="false" ht="15" hidden="false" customHeight="false" outlineLevel="0" collapsed="false">
      <c r="A115" s="0" t="s">
        <v>135</v>
      </c>
      <c r="B115" s="8" t="n">
        <v>-0.002233</v>
      </c>
      <c r="C115" s="8" t="n">
        <v>-0.002951</v>
      </c>
      <c r="D115" s="8" t="n">
        <v>-0.029873</v>
      </c>
      <c r="E115" s="8" t="n">
        <v>0.025079</v>
      </c>
      <c r="F115" s="8" t="n">
        <v>-0.012345</v>
      </c>
      <c r="G115" s="8" t="n">
        <v>-0.005708</v>
      </c>
      <c r="H115" s="8" t="n">
        <v>0.007124</v>
      </c>
    </row>
    <row r="116" customFormat="false" ht="15" hidden="false" customHeight="false" outlineLevel="0" collapsed="false">
      <c r="A116" s="0" t="s">
        <v>136</v>
      </c>
      <c r="B116" s="8" t="n">
        <v>0.001994</v>
      </c>
      <c r="C116" s="8" t="n">
        <v>0.006595</v>
      </c>
      <c r="D116" s="8" t="n">
        <v>0.03081</v>
      </c>
      <c r="E116" s="8" t="n">
        <v>0.016867</v>
      </c>
      <c r="F116" s="8" t="n">
        <v>0.051092</v>
      </c>
      <c r="G116" s="8" t="n">
        <v>0.086317</v>
      </c>
      <c r="H116" s="8" t="n">
        <v>0.099879</v>
      </c>
    </row>
    <row r="117" customFormat="false" ht="15" hidden="false" customHeight="false" outlineLevel="0" collapsed="false">
      <c r="A117" s="0" t="s">
        <v>137</v>
      </c>
      <c r="B117" s="8" t="n">
        <v>0.006195</v>
      </c>
      <c r="C117" s="8" t="n">
        <v>0.006142</v>
      </c>
      <c r="D117" s="8" t="n">
        <v>-0.002048</v>
      </c>
      <c r="E117" s="8" t="n">
        <v>-0.032204</v>
      </c>
      <c r="F117" s="8" t="n">
        <v>0.036489</v>
      </c>
      <c r="G117" s="8" t="n">
        <v>0.028839</v>
      </c>
      <c r="H117" s="8" t="n">
        <v>0.044416</v>
      </c>
    </row>
    <row r="118" customFormat="false" ht="15" hidden="false" customHeight="false" outlineLevel="0" collapsed="false">
      <c r="A118" s="0" t="s">
        <v>138</v>
      </c>
      <c r="B118" s="8" t="n">
        <v>0.009758</v>
      </c>
      <c r="C118" s="8" t="n">
        <v>0.00509</v>
      </c>
      <c r="D118" s="8" t="n">
        <v>0.071839</v>
      </c>
      <c r="E118" s="8" t="n">
        <v>0.027354</v>
      </c>
      <c r="F118" s="8" t="n">
        <v>0.083852</v>
      </c>
      <c r="G118" s="8" t="n">
        <v>0.12009</v>
      </c>
      <c r="H118" s="8" t="n">
        <v>0.157447</v>
      </c>
    </row>
    <row r="119" customFormat="false" ht="15" hidden="false" customHeight="false" outlineLevel="0" collapsed="false">
      <c r="A119" s="0" t="s">
        <v>139</v>
      </c>
      <c r="B119" s="8" t="n">
        <v>0.003863</v>
      </c>
      <c r="C119" s="8" t="n">
        <v>0.004651</v>
      </c>
      <c r="D119" s="8" t="n">
        <v>-0.034439</v>
      </c>
      <c r="E119" s="8" t="n">
        <v>-0.001473</v>
      </c>
      <c r="F119" s="8" t="n">
        <v>0.013694</v>
      </c>
      <c r="G119" s="8" t="n">
        <v>0.006003</v>
      </c>
      <c r="H119" s="8" t="n">
        <v>-0.012615</v>
      </c>
    </row>
    <row r="120" customFormat="false" ht="15" hidden="false" customHeight="false" outlineLevel="0" collapsed="false">
      <c r="A120" s="0" t="s">
        <v>140</v>
      </c>
      <c r="B120" s="8" t="n">
        <v>0.004257</v>
      </c>
      <c r="C120" s="8" t="n">
        <v>-0.001989</v>
      </c>
      <c r="D120" s="8" t="n">
        <v>0.063714</v>
      </c>
      <c r="E120" s="8" t="n">
        <v>0.027053</v>
      </c>
      <c r="F120" s="8" t="n">
        <v>-0.015599</v>
      </c>
      <c r="G120" s="8" t="n">
        <v>-0.011134</v>
      </c>
      <c r="H120" s="8" t="n">
        <v>0.001368</v>
      </c>
    </row>
    <row r="121" customFormat="false" ht="15" hidden="false" customHeight="false" outlineLevel="0" collapsed="false">
      <c r="A121" s="0" t="s">
        <v>141</v>
      </c>
      <c r="B121" s="8" t="n">
        <v>0.006556</v>
      </c>
      <c r="C121" s="8" t="n">
        <v>0.006043</v>
      </c>
      <c r="D121" s="8" t="n">
        <v>0.050254</v>
      </c>
      <c r="E121" s="8" t="n">
        <v>0.057185</v>
      </c>
      <c r="F121" s="8" t="n">
        <v>0.020258</v>
      </c>
      <c r="G121" s="8" t="n">
        <v>0.0257</v>
      </c>
      <c r="H121" s="8" t="n">
        <v>0.037021</v>
      </c>
    </row>
    <row r="122" customFormat="false" ht="15" hidden="false" customHeight="false" outlineLevel="0" collapsed="false">
      <c r="A122" s="0" t="s">
        <v>142</v>
      </c>
      <c r="B122" s="8" t="n">
        <v>0.006717</v>
      </c>
      <c r="C122" s="8" t="n">
        <v>0.002504</v>
      </c>
      <c r="D122" s="8" t="n">
        <v>0.02199</v>
      </c>
      <c r="E122" s="8" t="n">
        <v>0.003299</v>
      </c>
      <c r="F122" s="8" t="n">
        <v>-0.026794</v>
      </c>
      <c r="G122" s="8" t="n">
        <v>-0.038382</v>
      </c>
      <c r="H122" s="8" t="n">
        <v>-0.029234</v>
      </c>
    </row>
    <row r="123" customFormat="false" ht="15" hidden="false" customHeight="false" outlineLevel="0" collapsed="false">
      <c r="A123" s="0" t="s">
        <v>143</v>
      </c>
      <c r="B123" s="8" t="n">
        <v>-0.000717</v>
      </c>
      <c r="C123" s="8" t="n">
        <v>-0.004535</v>
      </c>
      <c r="D123" s="8" t="n">
        <v>-0.031194</v>
      </c>
      <c r="E123" s="8" t="n">
        <v>-0.003619</v>
      </c>
      <c r="F123" s="8" t="n">
        <v>0.023778</v>
      </c>
      <c r="G123" s="8" t="n">
        <v>0.024305</v>
      </c>
      <c r="H123" s="8" t="n">
        <v>0.018265</v>
      </c>
    </row>
    <row r="124" customFormat="false" ht="15" hidden="false" customHeight="false" outlineLevel="0" collapsed="false">
      <c r="A124" s="0" t="s">
        <v>144</v>
      </c>
      <c r="B124" s="8" t="n">
        <v>0.002333</v>
      </c>
      <c r="C124" s="8" t="n">
        <v>0.01055</v>
      </c>
      <c r="D124" s="8" t="n">
        <v>0.070273</v>
      </c>
      <c r="E124" s="8" t="n">
        <v>0.03266</v>
      </c>
      <c r="F124" s="8" t="n">
        <v>0.010762</v>
      </c>
      <c r="G124" s="8" t="n">
        <v>0.0344</v>
      </c>
      <c r="H124" s="8" t="n">
        <v>0.038266</v>
      </c>
    </row>
    <row r="126" customFormat="false" ht="15" hidden="false" customHeight="false" outlineLevel="0" collapsed="false">
      <c r="A126" s="9" t="s">
        <v>145</v>
      </c>
      <c r="B126" s="10" t="n">
        <f aca="false">EXP(SUMPRODUCT(LN(1+B5:B124)))^(12/120)-1</f>
        <v>0.0552398323386303</v>
      </c>
      <c r="C126" s="10" t="n">
        <f aca="false">EXP(SUMPRODUCT(LN(1+C5:C124)))^(12/120)-1</f>
        <v>0.070752542447684</v>
      </c>
      <c r="D126" s="10" t="n">
        <f aca="false">EXP(SUMPRODUCT(LN(1+D5:D124)))^(12/120)-1</f>
        <v>0.0962675922781853</v>
      </c>
      <c r="E126" s="10" t="n">
        <f aca="false">EXP(SUMPRODUCT(LN(1+E5:E124)))^(12/120)-1</f>
        <v>0.121282341447363</v>
      </c>
      <c r="F126" s="10" t="n">
        <f aca="false">EXP(SUMPRODUCT(LN(1+F5:F124)))^(12/120)-1</f>
        <v>0.140661835803193</v>
      </c>
      <c r="G126" s="10" t="n">
        <f aca="false">EXP(SUMPRODUCT(LN(1+G5:G124)))^(12/120)-1</f>
        <v>0.145398403200853</v>
      </c>
      <c r="H126" s="10" t="n">
        <f aca="false">EXP(SUMPRODUCT(LN(1+H5:H124)))^(12/120)-1</f>
        <v>0.122467890262955</v>
      </c>
    </row>
    <row r="127" customFormat="false" ht="15" hidden="false" customHeight="false" outlineLevel="0" collapsed="false">
      <c r="A127" s="9" t="s">
        <v>146</v>
      </c>
      <c r="B127" s="10" t="n">
        <f aca="false">STDEV(B5:B124)*SQRT(12)</f>
        <v>0.0149999637847182</v>
      </c>
      <c r="C127" s="10" t="n">
        <f aca="false">STDEV(C5:C124)*SQRT(12)</f>
        <v>0.0300000648956021</v>
      </c>
      <c r="D127" s="10" t="n">
        <f aca="false">STDEV(D5:D124)*SQRT(12)</f>
        <v>0.215000018543284</v>
      </c>
      <c r="E127" s="10" t="n">
        <f aca="false">STDEV(E5:E124)*SQRT(12)</f>
        <v>0.0899999140957527</v>
      </c>
      <c r="F127" s="10" t="n">
        <f aca="false">STDEV(F5:F124)*SQRT(12)</f>
        <v>0.144999981884319</v>
      </c>
      <c r="G127" s="10" t="n">
        <f aca="false">STDEV(G5:G124)*SQRT(12)</f>
        <v>0.190000057615197</v>
      </c>
      <c r="H127" s="10" t="n">
        <f aca="false">STDEV(H5:H124)*SQRT(12)</f>
        <v>0.235000181876488</v>
      </c>
    </row>
    <row r="129" customFormat="false" ht="15" hidden="false" customHeight="false" outlineLevel="0" collapsed="false">
      <c r="A129" s="11" t="s">
        <v>147</v>
      </c>
    </row>
    <row r="130" customFormat="false" ht="28.35" hidden="false" customHeight="false" outlineLevel="0" collapsed="false">
      <c r="A130" s="7"/>
      <c r="B130" s="7" t="s">
        <v>18</v>
      </c>
      <c r="C130" s="7" t="s">
        <v>19</v>
      </c>
      <c r="D130" s="7" t="s">
        <v>20</v>
      </c>
      <c r="E130" s="7" t="s">
        <v>21</v>
      </c>
      <c r="F130" s="7" t="s">
        <v>22</v>
      </c>
      <c r="G130" s="7" t="s">
        <v>23</v>
      </c>
      <c r="H130" s="7" t="s">
        <v>24</v>
      </c>
    </row>
    <row r="131" customFormat="false" ht="15" hidden="false" customHeight="false" outlineLevel="0" collapsed="false">
      <c r="A131" s="9" t="s">
        <v>18</v>
      </c>
      <c r="B131" s="12" t="n">
        <f aca="false">CORREL(B5:B124,B5:B124)</f>
        <v>1</v>
      </c>
      <c r="C131" s="12" t="n">
        <f aca="false">CORREL(B5:B124,C5:C124)</f>
        <v>0.268691914871265</v>
      </c>
      <c r="D131" s="12" t="n">
        <f aca="false">CORREL(B5:B124,D5:D124)</f>
        <v>0.09978681850605</v>
      </c>
      <c r="E131" s="12" t="n">
        <f aca="false">CORREL(B5:B124,E5:E124)</f>
        <v>2.06001191962313E-006</v>
      </c>
      <c r="F131" s="12" t="n">
        <f aca="false">CORREL(B5:B124,F5:F124)</f>
        <v>-2.23436402394694E-006</v>
      </c>
      <c r="G131" s="12" t="n">
        <f aca="false">CORREL(B5:B124,G5:G124)</f>
        <v>-5.69819985205641E-006</v>
      </c>
      <c r="H131" s="12" t="n">
        <f aca="false">CORREL(B5:B124,H5:H124)</f>
        <v>-6.60227270540916E-006</v>
      </c>
    </row>
    <row r="132" customFormat="false" ht="15" hidden="false" customHeight="false" outlineLevel="0" collapsed="false">
      <c r="A132" s="9" t="s">
        <v>19</v>
      </c>
      <c r="B132" s="12" t="n">
        <f aca="false">CORREL(C5:C124,B5:B124)</f>
        <v>0.268691914871265</v>
      </c>
      <c r="C132" s="12" t="n">
        <f aca="false">CORREL(C5:C124,C5:C124)</f>
        <v>1</v>
      </c>
      <c r="D132" s="12" t="n">
        <f aca="false">CORREL(C5:C124,D5:D124)</f>
        <v>0.269265103572475</v>
      </c>
      <c r="E132" s="12" t="n">
        <f aca="false">CORREL(C5:C124,E5:E124)</f>
        <v>-4.06957584677304E-006</v>
      </c>
      <c r="F132" s="12" t="n">
        <f aca="false">CORREL(C5:C124,F5:F124)</f>
        <v>-1.51930087315229E-006</v>
      </c>
      <c r="G132" s="12" t="n">
        <f aca="false">CORREL(C5:C124,G5:G124)</f>
        <v>-2.32321496876725E-006</v>
      </c>
      <c r="H132" s="12" t="n">
        <f aca="false">CORREL(C5:C124,H5:H124)</f>
        <v>-2.23610249716573E-006</v>
      </c>
    </row>
    <row r="133" customFormat="false" ht="15" hidden="false" customHeight="false" outlineLevel="0" collapsed="false">
      <c r="A133" s="9" t="s">
        <v>20</v>
      </c>
      <c r="B133" s="12" t="n">
        <f aca="false">CORREL(D5:D124,B5:B124)</f>
        <v>0.09978681850605</v>
      </c>
      <c r="C133" s="12" t="n">
        <f aca="false">CORREL(D5:D124,C5:C124)</f>
        <v>0.269265103572475</v>
      </c>
      <c r="D133" s="12" t="n">
        <f aca="false">CORREL(D5:D124,D5:D124)</f>
        <v>1</v>
      </c>
      <c r="E133" s="12" t="n">
        <f aca="false">CORREL(D5:D124,E5:E124)</f>
        <v>0.563534135459649</v>
      </c>
      <c r="F133" s="12" t="n">
        <f aca="false">CORREL(D5:D124,F5:F124)</f>
        <v>-7.35519331935882E-007</v>
      </c>
      <c r="G133" s="12" t="n">
        <f aca="false">CORREL(D5:D124,G5:G124)</f>
        <v>1.84436902953189E-007</v>
      </c>
      <c r="H133" s="12" t="n">
        <f aca="false">CORREL(D5:D124,H5:H124)</f>
        <v>1.78484097958385E-007</v>
      </c>
    </row>
    <row r="134" customFormat="false" ht="15" hidden="false" customHeight="false" outlineLevel="0" collapsed="false">
      <c r="A134" s="9" t="s">
        <v>21</v>
      </c>
      <c r="B134" s="12" t="n">
        <f aca="false">CORREL(E5:E124,B5:B124)</f>
        <v>2.06001191962313E-006</v>
      </c>
      <c r="C134" s="12" t="n">
        <f aca="false">CORREL(E5:E124,C5:C124)</f>
        <v>-4.06957584677304E-006</v>
      </c>
      <c r="D134" s="12" t="n">
        <f aca="false">CORREL(E5:E124,D5:D124)</f>
        <v>0.563534135459649</v>
      </c>
      <c r="E134" s="12" t="n">
        <f aca="false">CORREL(E5:E124,E5:E124)</f>
        <v>1</v>
      </c>
      <c r="F134" s="12" t="n">
        <f aca="false">CORREL(E5:E124,F5:F124)</f>
        <v>0.15333156545238</v>
      </c>
      <c r="G134" s="12" t="n">
        <f aca="false">CORREL(E5:E124,G5:G124)</f>
        <v>0.153332781322942</v>
      </c>
      <c r="H134" s="12" t="n">
        <f aca="false">CORREL(E5:E124,H5:H124)</f>
        <v>0.153332249032272</v>
      </c>
    </row>
    <row r="135" customFormat="false" ht="15" hidden="false" customHeight="false" outlineLevel="0" collapsed="false">
      <c r="A135" s="9" t="s">
        <v>22</v>
      </c>
      <c r="B135" s="12" t="n">
        <f aca="false">CORREL(F5:F124,B5:B124)</f>
        <v>-2.23436402394694E-006</v>
      </c>
      <c r="C135" s="12" t="n">
        <f aca="false">CORREL(F5:F124,C5:C124)</f>
        <v>-1.51930087315229E-006</v>
      </c>
      <c r="D135" s="12" t="n">
        <f aca="false">CORREL(F5:F124,D5:D124)</f>
        <v>-7.35519331935882E-007</v>
      </c>
      <c r="E135" s="12" t="n">
        <f aca="false">CORREL(F5:F124,E5:E124)</f>
        <v>0.15333156545238</v>
      </c>
      <c r="F135" s="12" t="n">
        <f aca="false">CORREL(F5:F124,F5:F124)</f>
        <v>1</v>
      </c>
      <c r="G135" s="12" t="n">
        <f aca="false">CORREL(F5:F124,G5:G124)</f>
        <v>0.945434833905644</v>
      </c>
      <c r="H135" s="12" t="n">
        <f aca="false">CORREL(F5:F124,H5:H124)</f>
        <v>0.921796754044996</v>
      </c>
    </row>
    <row r="136" customFormat="false" ht="15" hidden="false" customHeight="false" outlineLevel="0" collapsed="false">
      <c r="A136" s="9" t="s">
        <v>23</v>
      </c>
      <c r="B136" s="12" t="n">
        <f aca="false">CORREL(G5:G124,B5:B124)</f>
        <v>-5.69819985205641E-006</v>
      </c>
      <c r="C136" s="12" t="n">
        <f aca="false">CORREL(G5:G124,C5:C124)</f>
        <v>-2.32321496876725E-006</v>
      </c>
      <c r="D136" s="12" t="n">
        <f aca="false">CORREL(G5:G124,D5:D124)</f>
        <v>1.84436902953189E-007</v>
      </c>
      <c r="E136" s="12" t="n">
        <f aca="false">CORREL(G5:G124,E5:E124)</f>
        <v>0.153332781322942</v>
      </c>
      <c r="F136" s="12" t="n">
        <f aca="false">CORREL(G5:G124,F5:F124)</f>
        <v>0.945434833905644</v>
      </c>
      <c r="G136" s="12" t="n">
        <f aca="false">CORREL(G5:G124,G5:G124)</f>
        <v>1</v>
      </c>
      <c r="H136" s="12" t="n">
        <f aca="false">CORREL(G5:G124,H5:H124)</f>
        <v>0.991151899181521</v>
      </c>
    </row>
    <row r="137" customFormat="false" ht="15" hidden="false" customHeight="false" outlineLevel="0" collapsed="false">
      <c r="A137" s="9" t="s">
        <v>24</v>
      </c>
      <c r="B137" s="12" t="n">
        <f aca="false">CORREL(H5:H124,B5:B124)</f>
        <v>-6.60227270540916E-006</v>
      </c>
      <c r="C137" s="12" t="n">
        <f aca="false">CORREL(H5:H124,C5:C124)</f>
        <v>-2.23610249716573E-006</v>
      </c>
      <c r="D137" s="12" t="n">
        <f aca="false">CORREL(H5:H124,D5:D124)</f>
        <v>1.78484097958385E-007</v>
      </c>
      <c r="E137" s="12" t="n">
        <f aca="false">CORREL(H5:H124,E5:E124)</f>
        <v>0.153332249032272</v>
      </c>
      <c r="F137" s="12" t="n">
        <f aca="false">CORREL(H5:H124,F5:F124)</f>
        <v>0.921796754044996</v>
      </c>
      <c r="G137" s="12" t="n">
        <f aca="false">CORREL(H5:H124,G5:G124)</f>
        <v>0.991151899181521</v>
      </c>
      <c r="H137" s="12" t="n">
        <f aca="false">CORREL(H5:H124,H5:H124)</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4" min="3" style="0" width="16"/>
  </cols>
  <sheetData>
    <row r="1" customFormat="false" ht="19.7" hidden="false" customHeight="false" outlineLevel="0" collapsed="false">
      <c r="A1" s="1" t="s">
        <v>148</v>
      </c>
    </row>
    <row r="3" customFormat="false" ht="16.15" hidden="false" customHeight="false" outlineLevel="0" collapsed="false">
      <c r="A3" s="13" t="s">
        <v>149</v>
      </c>
    </row>
    <row r="4" customFormat="false" ht="28.35" hidden="false" customHeight="false" outlineLevel="0" collapsed="false">
      <c r="A4" s="7" t="s">
        <v>150</v>
      </c>
      <c r="B4" s="7" t="s">
        <v>151</v>
      </c>
      <c r="C4" s="7" t="s">
        <v>152</v>
      </c>
      <c r="D4" s="7" t="s">
        <v>153</v>
      </c>
    </row>
    <row r="5" customFormat="false" ht="15" hidden="false" customHeight="false" outlineLevel="0" collapsed="false">
      <c r="A5" s="9" t="s">
        <v>18</v>
      </c>
      <c r="B5" s="14" t="s">
        <v>154</v>
      </c>
      <c r="C5" s="15" t="n">
        <f aca="false">'2. Market Data'!B126</f>
        <v>0.0552398323386303</v>
      </c>
      <c r="D5" s="15" t="n">
        <f aca="false">'2. Market Data'!B127</f>
        <v>0.0149999637847182</v>
      </c>
    </row>
    <row r="6" customFormat="false" ht="15" hidden="false" customHeight="false" outlineLevel="0" collapsed="false">
      <c r="A6" s="9" t="s">
        <v>19</v>
      </c>
      <c r="B6" s="14" t="s">
        <v>155</v>
      </c>
      <c r="C6" s="15" t="n">
        <f aca="false">'2. Market Data'!C126</f>
        <v>0.070752542447684</v>
      </c>
      <c r="D6" s="15" t="n">
        <f aca="false">'2. Market Data'!C127</f>
        <v>0.0300000648956021</v>
      </c>
    </row>
    <row r="7" customFormat="false" ht="15" hidden="false" customHeight="false" outlineLevel="0" collapsed="false">
      <c r="A7" s="9" t="s">
        <v>20</v>
      </c>
      <c r="B7" s="14" t="s">
        <v>156</v>
      </c>
      <c r="C7" s="15" t="n">
        <f aca="false">'2. Market Data'!D126</f>
        <v>0.0962675922781853</v>
      </c>
      <c r="D7" s="15" t="n">
        <f aca="false">'2. Market Data'!D127</f>
        <v>0.215000018543284</v>
      </c>
    </row>
    <row r="8" customFormat="false" ht="15" hidden="false" customHeight="false" outlineLevel="0" collapsed="false">
      <c r="A8" s="9" t="s">
        <v>21</v>
      </c>
      <c r="B8" s="14" t="s">
        <v>157</v>
      </c>
      <c r="C8" s="15" t="n">
        <f aca="false">'2. Market Data'!E126</f>
        <v>0.121282341447363</v>
      </c>
      <c r="D8" s="15" t="n">
        <f aca="false">'2. Market Data'!E127</f>
        <v>0.0899999140957527</v>
      </c>
    </row>
    <row r="9" customFormat="false" ht="15" hidden="false" customHeight="false" outlineLevel="0" collapsed="false">
      <c r="A9" s="9" t="s">
        <v>22</v>
      </c>
      <c r="B9" s="14" t="s">
        <v>158</v>
      </c>
      <c r="C9" s="15" t="n">
        <f aca="false">'2. Market Data'!F126</f>
        <v>0.140661835803193</v>
      </c>
      <c r="D9" s="15" t="n">
        <f aca="false">'2. Market Data'!F127</f>
        <v>0.144999981884319</v>
      </c>
    </row>
    <row r="10" customFormat="false" ht="15" hidden="false" customHeight="false" outlineLevel="0" collapsed="false">
      <c r="A10" s="9" t="s">
        <v>23</v>
      </c>
      <c r="B10" s="14" t="s">
        <v>159</v>
      </c>
      <c r="C10" s="15" t="n">
        <f aca="false">'2. Market Data'!G126</f>
        <v>0.145398403200853</v>
      </c>
      <c r="D10" s="15" t="n">
        <f aca="false">'2. Market Data'!G127</f>
        <v>0.190000057615197</v>
      </c>
    </row>
    <row r="11" customFormat="false" ht="15" hidden="false" customHeight="false" outlineLevel="0" collapsed="false">
      <c r="A11" s="9" t="s">
        <v>24</v>
      </c>
      <c r="B11" s="14" t="s">
        <v>160</v>
      </c>
      <c r="C11" s="15" t="n">
        <f aca="false">'2. Market Data'!H126</f>
        <v>0.122467890262955</v>
      </c>
      <c r="D11" s="15" t="n">
        <f aca="false">'2. Market Data'!H127</f>
        <v>0.235000181876488</v>
      </c>
    </row>
    <row r="14" customFormat="false" ht="16.15" hidden="false" customHeight="false" outlineLevel="0" collapsed="false">
      <c r="A14" s="13" t="s">
        <v>161</v>
      </c>
    </row>
    <row r="15" customFormat="false" ht="15" hidden="false" customHeight="false" outlineLevel="0" collapsed="false">
      <c r="A15" s="7" t="s">
        <v>162</v>
      </c>
      <c r="B15" s="7" t="s">
        <v>163</v>
      </c>
    </row>
    <row r="16" customFormat="false" ht="15" hidden="false" customHeight="false" outlineLevel="0" collapsed="false">
      <c r="A16" s="14" t="s">
        <v>164</v>
      </c>
      <c r="B16" s="16" t="n">
        <v>0.06</v>
      </c>
    </row>
    <row r="17" customFormat="false" ht="15" hidden="false" customHeight="false" outlineLevel="0" collapsed="false">
      <c r="A17" s="14" t="s">
        <v>165</v>
      </c>
      <c r="B17" s="16" t="n">
        <v>0.06</v>
      </c>
    </row>
    <row r="18" customFormat="false" ht="15" hidden="false" customHeight="false" outlineLevel="0" collapsed="false">
      <c r="A18" s="14" t="s">
        <v>166</v>
      </c>
      <c r="B18" s="16" t="n">
        <v>0.09</v>
      </c>
    </row>
    <row r="19" customFormat="false" ht="15" hidden="false" customHeight="false" outlineLevel="0" collapsed="false">
      <c r="A19" s="14" t="s">
        <v>167</v>
      </c>
      <c r="B19" s="16" t="n">
        <v>0.08</v>
      </c>
    </row>
    <row r="20" customFormat="false" ht="15" hidden="false" customHeight="false" outlineLevel="0" collapsed="false">
      <c r="A20" s="14" t="s">
        <v>168</v>
      </c>
      <c r="B20" s="16" t="n">
        <v>0.07</v>
      </c>
    </row>
    <row r="21" customFormat="false" ht="15" hidden="false" customHeight="false" outlineLevel="0" collapsed="false">
      <c r="A21" s="14" t="s">
        <v>169</v>
      </c>
      <c r="B21" s="16" t="n">
        <v>0.05</v>
      </c>
    </row>
    <row r="22" customFormat="false" ht="53.7" hidden="false" customHeight="false" outlineLevel="0" collapsed="false">
      <c r="A22" s="6" t="s">
        <v>170</v>
      </c>
    </row>
    <row r="24" customFormat="false" ht="16.15" hidden="false" customHeight="false" outlineLevel="0" collapsed="false">
      <c r="A24" s="13" t="s">
        <v>171</v>
      </c>
    </row>
    <row r="25" customFormat="false" ht="15" hidden="false" customHeight="false" outlineLevel="0" collapsed="false">
      <c r="A25" s="14" t="s">
        <v>172</v>
      </c>
      <c r="B25" s="16" t="n">
        <v>0.05</v>
      </c>
    </row>
    <row r="26" customFormat="false" ht="15" hidden="false" customHeight="false" outlineLevel="0" collapsed="false">
      <c r="A26" s="14" t="s">
        <v>173</v>
      </c>
      <c r="B26" s="16" t="n">
        <v>0.01</v>
      </c>
    </row>
    <row r="27" customFormat="false" ht="15" hidden="false" customHeight="false" outlineLevel="0" collapsed="false">
      <c r="A27" s="14" t="s">
        <v>174</v>
      </c>
      <c r="B27" s="17" t="n">
        <v>0.053</v>
      </c>
    </row>
    <row r="28" customFormat="false" ht="15" hidden="false" customHeight="false" outlineLevel="0" collapsed="false">
      <c r="A28" s="14" t="s">
        <v>175</v>
      </c>
      <c r="B28" s="18" t="n">
        <v>25</v>
      </c>
    </row>
    <row r="29" customFormat="false" ht="15" hidden="false" customHeight="false" outlineLevel="0" collapsed="false">
      <c r="A29" s="14" t="s">
        <v>176</v>
      </c>
      <c r="B29" s="16" t="n">
        <v>0.35</v>
      </c>
    </row>
    <row r="30" customFormat="false" ht="15" hidden="false" customHeight="false" outlineLevel="0" collapsed="false">
      <c r="A30" s="14" t="s">
        <v>177</v>
      </c>
      <c r="B30" s="19" t="n">
        <v>2000</v>
      </c>
    </row>
    <row r="32" customFormat="false" ht="16.15" hidden="false" customHeight="false" outlineLevel="0" collapsed="false">
      <c r="A32" s="13" t="s">
        <v>178</v>
      </c>
    </row>
    <row r="33" customFormat="false" ht="15" hidden="false" customHeight="false" outlineLevel="0" collapsed="false">
      <c r="A33" s="7" t="s">
        <v>179</v>
      </c>
      <c r="B33" s="7" t="s">
        <v>180</v>
      </c>
    </row>
    <row r="34" customFormat="false" ht="15" hidden="false" customHeight="false" outlineLevel="0" collapsed="false">
      <c r="A34" s="14" t="s">
        <v>181</v>
      </c>
      <c r="B34" s="20" t="n">
        <v>35000</v>
      </c>
    </row>
    <row r="35" customFormat="false" ht="15" hidden="false" customHeight="false" outlineLevel="0" collapsed="false">
      <c r="A35" s="14" t="s">
        <v>182</v>
      </c>
      <c r="B35" s="20" t="n">
        <v>75000</v>
      </c>
    </row>
    <row r="36" customFormat="false" ht="15" hidden="false" customHeight="false" outlineLevel="0" collapsed="false">
      <c r="A36" s="14" t="s">
        <v>183</v>
      </c>
      <c r="B36" s="20" t="n">
        <v>150000</v>
      </c>
    </row>
    <row r="37" customFormat="false" ht="15" hidden="false" customHeight="false" outlineLevel="0" collapsed="false">
      <c r="A37" s="14" t="s">
        <v>184</v>
      </c>
      <c r="B37" s="20" t="n">
        <v>250000</v>
      </c>
    </row>
    <row r="38" customFormat="false" ht="15" hidden="false" customHeight="false" outlineLevel="0" collapsed="false">
      <c r="A38" s="14" t="s">
        <v>185</v>
      </c>
      <c r="B38" s="20" t="n">
        <v>400000</v>
      </c>
    </row>
    <row r="39" customFormat="false" ht="15" hidden="false" customHeight="false" outlineLevel="0" collapsed="false">
      <c r="A39" s="14" t="s">
        <v>186</v>
      </c>
      <c r="B39" s="20" t="n">
        <v>750000</v>
      </c>
    </row>
    <row r="40" customFormat="false" ht="15" hidden="false" customHeight="false" outlineLevel="0" collapsed="false">
      <c r="A40" s="14" t="s">
        <v>187</v>
      </c>
      <c r="B40" s="20" t="n">
        <v>1250000</v>
      </c>
    </row>
    <row r="41" customFormat="false" ht="15" hidden="false" customHeight="false" outlineLevel="0" collapsed="false">
      <c r="A41" s="14" t="s">
        <v>188</v>
      </c>
      <c r="B41" s="20" t="n">
        <v>2000000</v>
      </c>
    </row>
    <row r="42" customFormat="false" ht="15" hidden="false" customHeight="false" outlineLevel="0" collapsed="false">
      <c r="A42" s="14" t="s">
        <v>189</v>
      </c>
      <c r="B42" s="20" t="n">
        <v>3750000</v>
      </c>
    </row>
    <row r="43" customFormat="false" ht="15" hidden="false" customHeight="false" outlineLevel="0" collapsed="false">
      <c r="A43" s="14" t="s">
        <v>190</v>
      </c>
      <c r="B43" s="20" t="n">
        <v>6500000</v>
      </c>
    </row>
    <row r="45" customFormat="false" ht="16.15" hidden="false" customHeight="false" outlineLevel="0" collapsed="false">
      <c r="A45" s="13" t="s">
        <v>191</v>
      </c>
    </row>
    <row r="46" customFormat="false" ht="15" hidden="false" customHeight="false" outlineLevel="0" collapsed="false">
      <c r="A46" s="7" t="s">
        <v>179</v>
      </c>
      <c r="B46" s="7" t="s">
        <v>192</v>
      </c>
    </row>
    <row r="47" customFormat="false" ht="15" hidden="false" customHeight="false" outlineLevel="0" collapsed="false">
      <c r="A47" s="14" t="s">
        <v>181</v>
      </c>
      <c r="B47" s="16" t="n">
        <v>0.85</v>
      </c>
    </row>
    <row r="48" customFormat="false" ht="15" hidden="false" customHeight="false" outlineLevel="0" collapsed="false">
      <c r="A48" s="14" t="s">
        <v>182</v>
      </c>
      <c r="B48" s="16" t="n">
        <v>0.75</v>
      </c>
    </row>
    <row r="49" customFormat="false" ht="15" hidden="false" customHeight="false" outlineLevel="0" collapsed="false">
      <c r="A49" s="14" t="s">
        <v>183</v>
      </c>
      <c r="B49" s="16" t="n">
        <v>0.65</v>
      </c>
    </row>
    <row r="50" customFormat="false" ht="15" hidden="false" customHeight="false" outlineLevel="0" collapsed="false">
      <c r="A50" s="14" t="s">
        <v>184</v>
      </c>
      <c r="B50" s="16" t="n">
        <v>0.58</v>
      </c>
    </row>
    <row r="51" customFormat="false" ht="15" hidden="false" customHeight="false" outlineLevel="0" collapsed="false">
      <c r="A51" s="14" t="s">
        <v>185</v>
      </c>
      <c r="B51" s="16" t="n">
        <v>0.52</v>
      </c>
    </row>
    <row r="52" customFormat="false" ht="15" hidden="false" customHeight="false" outlineLevel="0" collapsed="false">
      <c r="A52" s="14" t="s">
        <v>186</v>
      </c>
      <c r="B52" s="16" t="n">
        <v>0.45</v>
      </c>
    </row>
    <row r="53" customFormat="false" ht="15" hidden="false" customHeight="false" outlineLevel="0" collapsed="false">
      <c r="A53" s="14" t="s">
        <v>187</v>
      </c>
      <c r="B53" s="16" t="n">
        <v>0.4</v>
      </c>
    </row>
    <row r="54" customFormat="false" ht="15" hidden="false" customHeight="false" outlineLevel="0" collapsed="false">
      <c r="A54" s="14" t="s">
        <v>188</v>
      </c>
      <c r="B54" s="16" t="n">
        <v>0.35</v>
      </c>
    </row>
    <row r="55" customFormat="false" ht="15" hidden="false" customHeight="false" outlineLevel="0" collapsed="false">
      <c r="A55" s="14" t="s">
        <v>189</v>
      </c>
      <c r="B55" s="16" t="n">
        <v>0.3</v>
      </c>
    </row>
    <row r="56" customFormat="false" ht="15" hidden="false" customHeight="false" outlineLevel="0" collapsed="false">
      <c r="A56" s="14" t="s">
        <v>190</v>
      </c>
      <c r="B56" s="16" t="n">
        <v>0.25</v>
      </c>
    </row>
    <row r="57" customFormat="false" ht="64.15" hidden="false" customHeight="false" outlineLevel="0" collapsed="false">
      <c r="A57" s="6" t="s">
        <v>193</v>
      </c>
    </row>
    <row r="59" customFormat="false" ht="15" hidden="false" customHeight="false" outlineLevel="0" collapsed="false">
      <c r="A59" s="14" t="s">
        <v>194</v>
      </c>
      <c r="B59" s="16" t="n">
        <v>0.04</v>
      </c>
    </row>
    <row r="60" customFormat="false" ht="15" hidden="false" customHeight="false" outlineLevel="0" collapsed="false">
      <c r="A60" s="14" t="s">
        <v>195</v>
      </c>
      <c r="B60" s="16" t="n">
        <v>0.25</v>
      </c>
      <c r="C60" s="16" t="n">
        <v>0.95</v>
      </c>
    </row>
    <row r="62" customFormat="false" ht="16.15" hidden="false" customHeight="false" outlineLevel="0" collapsed="false">
      <c r="A62" s="13" t="s">
        <v>196</v>
      </c>
    </row>
    <row r="63" customFormat="false" ht="15" hidden="false" customHeight="false" outlineLevel="0" collapsed="false">
      <c r="A63" s="7" t="s">
        <v>197</v>
      </c>
      <c r="B63" s="7" t="s">
        <v>198</v>
      </c>
    </row>
    <row r="64" customFormat="false" ht="15" hidden="false" customHeight="false" outlineLevel="0" collapsed="false">
      <c r="A64" s="14" t="s">
        <v>199</v>
      </c>
      <c r="B64" s="21" t="n">
        <v>0.18</v>
      </c>
    </row>
    <row r="65" customFormat="false" ht="15" hidden="false" customHeight="false" outlineLevel="0" collapsed="false">
      <c r="A65" s="14" t="s">
        <v>200</v>
      </c>
      <c r="B65" s="21" t="n">
        <v>0.2</v>
      </c>
    </row>
    <row r="66" customFormat="false" ht="15" hidden="false" customHeight="false" outlineLevel="0" collapsed="false">
      <c r="A66" s="14" t="s">
        <v>201</v>
      </c>
      <c r="B66" s="21" t="n">
        <v>-0.05</v>
      </c>
    </row>
    <row r="67" customFormat="false" ht="15" hidden="false" customHeight="false" outlineLevel="0" collapsed="false">
      <c r="A67" s="14" t="s">
        <v>202</v>
      </c>
      <c r="B67" s="21" t="n">
        <v>-0.1</v>
      </c>
    </row>
    <row r="69" customFormat="false" ht="16.15" hidden="false" customHeight="false" outlineLevel="0" collapsed="false">
      <c r="A69" s="13" t="s">
        <v>203</v>
      </c>
    </row>
    <row r="70" customFormat="false" ht="15" hidden="false" customHeight="false" outlineLevel="0" collapsed="false">
      <c r="A70" s="7" t="s">
        <v>204</v>
      </c>
      <c r="B70" s="7" t="s">
        <v>205</v>
      </c>
    </row>
    <row r="71" customFormat="false" ht="15" hidden="false" customHeight="false" outlineLevel="0" collapsed="false">
      <c r="A71" s="14" t="s">
        <v>206</v>
      </c>
      <c r="B71" s="21" t="n">
        <v>-0.03</v>
      </c>
    </row>
    <row r="72" customFormat="false" ht="15" hidden="false" customHeight="false" outlineLevel="0" collapsed="false">
      <c r="A72" s="14" t="s">
        <v>207</v>
      </c>
      <c r="B72" s="21" t="n">
        <v>0</v>
      </c>
    </row>
    <row r="73" customFormat="false" ht="15" hidden="false" customHeight="false" outlineLevel="0" collapsed="false">
      <c r="A73" s="14" t="s">
        <v>208</v>
      </c>
      <c r="B73" s="21" t="n">
        <v>0.03</v>
      </c>
    </row>
    <row r="74" customFormat="false" ht="15" hidden="false" customHeight="false" outlineLevel="0" collapsed="false">
      <c r="A74" s="14" t="s">
        <v>209</v>
      </c>
      <c r="B74" s="21" t="n">
        <v>0.07</v>
      </c>
    </row>
    <row r="75" customFormat="false" ht="15" hidden="false" customHeight="false" outlineLevel="0" collapsed="false">
      <c r="A75" s="14" t="s">
        <v>210</v>
      </c>
      <c r="B75" s="21" t="n">
        <v>0.13</v>
      </c>
    </row>
    <row r="77" customFormat="false" ht="16.15" hidden="false" customHeight="false" outlineLevel="0" collapsed="false">
      <c r="A77" s="13" t="s">
        <v>211</v>
      </c>
    </row>
    <row r="78" customFormat="false" ht="15" hidden="false" customHeight="false" outlineLevel="0" collapsed="false">
      <c r="A78" s="7" t="s">
        <v>212</v>
      </c>
      <c r="B78" s="7" t="s">
        <v>213</v>
      </c>
    </row>
    <row r="79" customFormat="false" ht="15" hidden="false" customHeight="false" outlineLevel="0" collapsed="false">
      <c r="A79" s="14" t="s">
        <v>214</v>
      </c>
      <c r="B79" s="22" t="n">
        <v>1.2</v>
      </c>
    </row>
    <row r="80" customFormat="false" ht="15" hidden="false" customHeight="false" outlineLevel="0" collapsed="false">
      <c r="A80" s="14" t="s">
        <v>215</v>
      </c>
      <c r="B80" s="22" t="n">
        <v>1</v>
      </c>
    </row>
    <row r="81" customFormat="false" ht="15" hidden="false" customHeight="false" outlineLevel="0" collapsed="false">
      <c r="A81" s="14" t="s">
        <v>216</v>
      </c>
      <c r="B81" s="22" t="n">
        <v>0.82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6"/>
  </cols>
  <sheetData>
    <row r="1" customFormat="false" ht="19.7" hidden="false" customHeight="false" outlineLevel="0" collapsed="false">
      <c r="A1" s="1" t="s">
        <v>217</v>
      </c>
    </row>
    <row r="3" customFormat="false" ht="16.15" hidden="false" customHeight="false" outlineLevel="0" collapsed="false">
      <c r="A3" s="13" t="s">
        <v>218</v>
      </c>
    </row>
    <row r="4" customFormat="false" ht="15" hidden="false" customHeight="false" outlineLevel="0" collapsed="false">
      <c r="A4" s="7" t="s">
        <v>219</v>
      </c>
      <c r="B4" s="7" t="s">
        <v>220</v>
      </c>
      <c r="C4" s="7" t="s">
        <v>221</v>
      </c>
      <c r="D4" s="7" t="s">
        <v>222</v>
      </c>
    </row>
    <row r="5" customFormat="false" ht="15" hidden="false" customHeight="false" outlineLevel="0" collapsed="false">
      <c r="A5" s="14" t="s">
        <v>223</v>
      </c>
      <c r="B5" s="23" t="n">
        <v>9</v>
      </c>
      <c r="C5" s="23" t="n">
        <v>3.5</v>
      </c>
      <c r="D5" s="23" t="n">
        <v>1.2</v>
      </c>
    </row>
    <row r="7" customFormat="false" ht="16.15" hidden="false" customHeight="false" outlineLevel="0" collapsed="false">
      <c r="A7" s="13" t="s">
        <v>224</v>
      </c>
    </row>
    <row r="8" customFormat="false" ht="41.75" hidden="false" customHeight="false" outlineLevel="0" collapsed="false">
      <c r="A8" s="7" t="s">
        <v>225</v>
      </c>
      <c r="B8" s="7" t="s">
        <v>226</v>
      </c>
    </row>
    <row r="9" customFormat="false" ht="15" hidden="false" customHeight="false" outlineLevel="0" collapsed="false">
      <c r="A9" s="14" t="s">
        <v>227</v>
      </c>
      <c r="B9" s="16" t="n">
        <v>0.15</v>
      </c>
    </row>
    <row r="10" customFormat="false" ht="15" hidden="false" customHeight="false" outlineLevel="0" collapsed="false">
      <c r="A10" s="14" t="s">
        <v>228</v>
      </c>
      <c r="B10" s="16" t="n">
        <v>0.55</v>
      </c>
    </row>
    <row r="11" customFormat="false" ht="15" hidden="false" customHeight="false" outlineLevel="0" collapsed="false">
      <c r="A11" s="14" t="s">
        <v>229</v>
      </c>
      <c r="B11" s="16" t="n">
        <v>1</v>
      </c>
    </row>
    <row r="12" customFormat="false" ht="32.8" hidden="false" customHeight="false" outlineLevel="0" collapsed="false">
      <c r="A12" s="6" t="s">
        <v>230</v>
      </c>
    </row>
    <row r="14" customFormat="false" ht="16.15" hidden="false" customHeight="false" outlineLevel="0" collapsed="false">
      <c r="A14" s="13" t="s">
        <v>231</v>
      </c>
    </row>
    <row r="15" customFormat="false" ht="15" hidden="false" customHeight="false" outlineLevel="0" collapsed="false">
      <c r="A15" s="7" t="s">
        <v>150</v>
      </c>
      <c r="B15" s="7" t="s">
        <v>232</v>
      </c>
    </row>
    <row r="16" customFormat="false" ht="15" hidden="false" customHeight="false" outlineLevel="0" collapsed="false">
      <c r="A16" s="14" t="s">
        <v>18</v>
      </c>
      <c r="B16" s="16" t="n">
        <v>1</v>
      </c>
    </row>
    <row r="17" customFormat="false" ht="15" hidden="false" customHeight="false" outlineLevel="0" collapsed="false">
      <c r="A17" s="14" t="s">
        <v>19</v>
      </c>
      <c r="B17" s="16" t="n">
        <v>1</v>
      </c>
    </row>
    <row r="18" customFormat="false" ht="15" hidden="false" customHeight="false" outlineLevel="0" collapsed="false">
      <c r="A18" s="14" t="s">
        <v>20</v>
      </c>
      <c r="B18" s="16" t="n">
        <v>0.2</v>
      </c>
    </row>
    <row r="19" customFormat="false" ht="15" hidden="false" customHeight="false" outlineLevel="0" collapsed="false">
      <c r="A19" s="14" t="s">
        <v>21</v>
      </c>
      <c r="B19" s="16" t="n">
        <v>0.2</v>
      </c>
    </row>
    <row r="20" customFormat="false" ht="15" hidden="false" customHeight="false" outlineLevel="0" collapsed="false">
      <c r="A20" s="14" t="s">
        <v>22</v>
      </c>
      <c r="B20" s="16" t="n">
        <v>0.35</v>
      </c>
    </row>
    <row r="21" customFormat="false" ht="15" hidden="false" customHeight="false" outlineLevel="0" collapsed="false">
      <c r="A21" s="14" t="s">
        <v>23</v>
      </c>
      <c r="B21" s="16" t="n">
        <v>0.35</v>
      </c>
    </row>
    <row r="22" customFormat="false" ht="15" hidden="false" customHeight="false" outlineLevel="0" collapsed="false">
      <c r="A22" s="14" t="s">
        <v>24</v>
      </c>
      <c r="B22" s="16" t="n">
        <v>0.3</v>
      </c>
    </row>
    <row r="23" customFormat="false" ht="64.15" hidden="false" customHeight="false" outlineLevel="0" collapsed="false">
      <c r="A23" s="6" t="s">
        <v>233</v>
      </c>
    </row>
    <row r="25" customFormat="false" ht="16.15" hidden="false" customHeight="false" outlineLevel="0" collapsed="false">
      <c r="A25" s="13" t="s">
        <v>234</v>
      </c>
    </row>
    <row r="26" customFormat="false" ht="15" hidden="false" customHeight="false" outlineLevel="0" collapsed="false">
      <c r="A26" s="24" t="s">
        <v>235</v>
      </c>
    </row>
    <row r="27" customFormat="false" ht="15" hidden="false" customHeight="false" outlineLevel="0" collapsed="false">
      <c r="A27" s="25" t="s">
        <v>236</v>
      </c>
    </row>
    <row r="28" customFormat="false" ht="15" hidden="false" customHeight="false" outlineLevel="0" collapsed="false">
      <c r="A28" s="25"/>
    </row>
    <row r="29" customFormat="false" ht="15" hidden="false" customHeight="false" outlineLevel="0" collapsed="false">
      <c r="A29" s="24" t="s">
        <v>237</v>
      </c>
    </row>
    <row r="30" customFormat="false" ht="15" hidden="false" customHeight="false" outlineLevel="0" collapsed="false">
      <c r="A30" s="25" t="s">
        <v>238</v>
      </c>
    </row>
    <row r="31" customFormat="false" ht="15" hidden="false" customHeight="false" outlineLevel="0" collapsed="false">
      <c r="A31" s="25"/>
    </row>
    <row r="32" customFormat="false" ht="15" hidden="false" customHeight="false" outlineLevel="0" collapsed="false">
      <c r="A32" s="24" t="s">
        <v>239</v>
      </c>
    </row>
    <row r="33" customFormat="false" ht="15" hidden="false" customHeight="false" outlineLevel="0" collapsed="false">
      <c r="A33" s="25" t="s">
        <v>240</v>
      </c>
    </row>
    <row r="34" customFormat="false" ht="15" hidden="false" customHeight="false" outlineLevel="0" collapsed="false">
      <c r="A34" s="25" t="s">
        <v>241</v>
      </c>
    </row>
    <row r="35" customFormat="false" ht="15" hidden="false" customHeight="false" outlineLevel="0" collapsed="false">
      <c r="A35" s="25" t="s">
        <v>242</v>
      </c>
    </row>
    <row r="36" customFormat="false" ht="15" hidden="false" customHeight="false" outlineLevel="0" collapsed="false">
      <c r="A36" s="25" t="s">
        <v>243</v>
      </c>
    </row>
    <row r="37" customFormat="false" ht="15" hidden="false" customHeight="false" outlineLevel="0" collapsed="false">
      <c r="A37" s="25" t="s">
        <v>244</v>
      </c>
    </row>
    <row r="38" customFormat="false" ht="15" hidden="false" customHeight="false" outlineLevel="0" collapsed="false">
      <c r="A38" s="25" t="s">
        <v>245</v>
      </c>
    </row>
    <row r="39" customFormat="false" ht="15" hidden="false" customHeight="false" outlineLevel="0" collapsed="false">
      <c r="A39" s="25"/>
    </row>
    <row r="40" customFormat="false" ht="15" hidden="false" customHeight="false" outlineLevel="0" collapsed="false">
      <c r="A40" s="24" t="s">
        <v>246</v>
      </c>
    </row>
    <row r="42" customFormat="false" ht="15" hidden="false" customHeight="false" outlineLevel="0" collapsed="false">
      <c r="A42" s="26" t="s">
        <v>247</v>
      </c>
    </row>
    <row r="43" customFormat="false" ht="91" hidden="false" customHeight="false" outlineLevel="0" collapsed="false">
      <c r="A43" s="27"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8" min="2" style="0" width="15"/>
  </cols>
  <sheetData>
    <row r="1" customFormat="false" ht="19.5" hidden="false" customHeight="true" outlineLevel="0" collapsed="false">
      <c r="A1" s="1" t="s">
        <v>249</v>
      </c>
    </row>
    <row r="2" customFormat="false" ht="60" hidden="false" customHeight="true" outlineLevel="0" collapsed="false">
      <c r="A2" s="6" t="s">
        <v>250</v>
      </c>
    </row>
    <row r="4" customFormat="false" ht="16.15" hidden="false" customHeight="false" outlineLevel="0" collapsed="false">
      <c r="A4" s="13" t="s">
        <v>251</v>
      </c>
    </row>
    <row r="5" customFormat="false" ht="15" hidden="false" customHeight="false" outlineLevel="0" collapsed="false">
      <c r="A5" s="14" t="s">
        <v>252</v>
      </c>
    </row>
    <row r="6" customFormat="false" ht="15" hidden="false" customHeight="false" outlineLevel="0" collapsed="false">
      <c r="A6" s="14" t="s">
        <v>253</v>
      </c>
      <c r="B6" s="14" t="n">
        <f aca="false">AVERAGE('2. Market Data'!C131,'2. Market Data'!D131,'2. Market Data'!E131,'2. Market Data'!F131,'2. Market Data'!G131,'2. Market Data'!H131,'2. Market Data'!B132,'2. Market Data'!D132,'2. Market Data'!E132,'2. Market Data'!F132,'2. Market Data'!G132,'2. Market Data'!H132,'2. Market Data'!B133,'2. Market Data'!C133,'2. Market Data'!E133,'2. Market Data'!F133,'2. Market Data'!G133,'2. Market Data'!H133,'2. Market Data'!B134,'2. Market Data'!C134,'2. Market Data'!D134,'2. Market Data'!F134,'2. Market Data'!G134,'2. Market Data'!H134,'2. Market Data'!B135,'2. Market Data'!C135,'2. Market Data'!D135,'2. Market Data'!E135,'2. Market Data'!G135,'2. Market Data'!H135,'2. Market Data'!B136,'2. Market Data'!C136,'2. Market Data'!D136,'2. Market Data'!E136,'2. Market Data'!F136,'2. Market Data'!H136,'2. Market Data'!B137,'2. Market Data'!C137,'2. Market Data'!D137,'2. Market Data'!E137,'2. Market Data'!F137,'2. Market Data'!G137)</f>
        <v>0.215220717130096</v>
      </c>
    </row>
    <row r="8" customFormat="false" ht="28.35" hidden="false" customHeight="false" outlineLevel="0" collapsed="false">
      <c r="A8" s="7"/>
      <c r="B8" s="7" t="s">
        <v>18</v>
      </c>
      <c r="C8" s="7" t="s">
        <v>19</v>
      </c>
      <c r="D8" s="7" t="s">
        <v>20</v>
      </c>
      <c r="E8" s="7" t="s">
        <v>21</v>
      </c>
      <c r="F8" s="7" t="s">
        <v>22</v>
      </c>
      <c r="G8" s="7" t="s">
        <v>23</v>
      </c>
      <c r="H8" s="7" t="s">
        <v>24</v>
      </c>
    </row>
    <row r="9" customFormat="false" ht="15" hidden="false" customHeight="false" outlineLevel="0" collapsed="false">
      <c r="A9" s="9" t="s">
        <v>18</v>
      </c>
      <c r="B9" s="12" t="n">
        <v>1</v>
      </c>
      <c r="C9" s="12" t="n">
        <f aca="false">(1-$B$5)*'2. Market Data'!C131+$B$5*$B$6</f>
        <v>0.268691914871265</v>
      </c>
      <c r="D9" s="12" t="n">
        <f aca="false">(1-$B$5)*'2. Market Data'!D131+$B$5*$B$6</f>
        <v>0.09978681850605</v>
      </c>
      <c r="E9" s="12" t="n">
        <f aca="false">(1-$B$5)*'2. Market Data'!E131+$B$5*$B$6</f>
        <v>2.06001191962313E-006</v>
      </c>
      <c r="F9" s="12" t="n">
        <f aca="false">(1-$B$5)*'2. Market Data'!F131+$B$5*$B$6</f>
        <v>-2.23436402394694E-006</v>
      </c>
      <c r="G9" s="12" t="n">
        <f aca="false">(1-$B$5)*'2. Market Data'!G131+$B$5*$B$6</f>
        <v>-5.69819985205641E-006</v>
      </c>
      <c r="H9" s="12" t="n">
        <f aca="false">(1-$B$5)*'2. Market Data'!H131+$B$5*$B$6</f>
        <v>-6.60227270540916E-006</v>
      </c>
    </row>
    <row r="10" customFormat="false" ht="15" hidden="false" customHeight="false" outlineLevel="0" collapsed="false">
      <c r="A10" s="9" t="s">
        <v>19</v>
      </c>
      <c r="B10" s="12" t="n">
        <f aca="false">(1-$B$5)*'2. Market Data'!B132+$B$5*$B$6</f>
        <v>0.268691914871265</v>
      </c>
      <c r="C10" s="12" t="n">
        <v>1</v>
      </c>
      <c r="D10" s="12" t="n">
        <f aca="false">(1-$B$5)*'2. Market Data'!D132+$B$5*$B$6</f>
        <v>0.269265103572475</v>
      </c>
      <c r="E10" s="12" t="n">
        <f aca="false">(1-$B$5)*'2. Market Data'!E132+$B$5*$B$6</f>
        <v>-4.06957584677304E-006</v>
      </c>
      <c r="F10" s="12" t="n">
        <f aca="false">(1-$B$5)*'2. Market Data'!F132+$B$5*$B$6</f>
        <v>-1.51930087315229E-006</v>
      </c>
      <c r="G10" s="12" t="n">
        <f aca="false">(1-$B$5)*'2. Market Data'!G132+$B$5*$B$6</f>
        <v>-2.32321496876725E-006</v>
      </c>
      <c r="H10" s="12" t="n">
        <f aca="false">(1-$B$5)*'2. Market Data'!H132+$B$5*$B$6</f>
        <v>-2.23610249716573E-006</v>
      </c>
    </row>
    <row r="11" customFormat="false" ht="15" hidden="false" customHeight="false" outlineLevel="0" collapsed="false">
      <c r="A11" s="9" t="s">
        <v>20</v>
      </c>
      <c r="B11" s="12" t="n">
        <f aca="false">(1-$B$5)*'2. Market Data'!B133+$B$5*$B$6</f>
        <v>0.09978681850605</v>
      </c>
      <c r="C11" s="12" t="n">
        <f aca="false">(1-$B$5)*'2. Market Data'!C133+$B$5*$B$6</f>
        <v>0.269265103572475</v>
      </c>
      <c r="D11" s="12" t="n">
        <v>1</v>
      </c>
      <c r="E11" s="12" t="n">
        <f aca="false">(1-$B$5)*'2. Market Data'!E133+$B$5*$B$6</f>
        <v>0.563534135459649</v>
      </c>
      <c r="F11" s="12" t="n">
        <f aca="false">(1-$B$5)*'2. Market Data'!F133+$B$5*$B$6</f>
        <v>-7.35519331935882E-007</v>
      </c>
      <c r="G11" s="12" t="n">
        <f aca="false">(1-$B$5)*'2. Market Data'!G133+$B$5*$B$6</f>
        <v>1.84436902953189E-007</v>
      </c>
      <c r="H11" s="12" t="n">
        <f aca="false">(1-$B$5)*'2. Market Data'!H133+$B$5*$B$6</f>
        <v>1.78484097958385E-007</v>
      </c>
    </row>
    <row r="12" customFormat="false" ht="15" hidden="false" customHeight="false" outlineLevel="0" collapsed="false">
      <c r="A12" s="9" t="s">
        <v>21</v>
      </c>
      <c r="B12" s="12" t="n">
        <f aca="false">(1-$B$5)*'2. Market Data'!B134+$B$5*$B$6</f>
        <v>2.06001191962313E-006</v>
      </c>
      <c r="C12" s="12" t="n">
        <f aca="false">(1-$B$5)*'2. Market Data'!C134+$B$5*$B$6</f>
        <v>-4.06957584677304E-006</v>
      </c>
      <c r="D12" s="12" t="n">
        <f aca="false">(1-$B$5)*'2. Market Data'!D134+$B$5*$B$6</f>
        <v>0.563534135459649</v>
      </c>
      <c r="E12" s="12" t="n">
        <v>1</v>
      </c>
      <c r="F12" s="12" t="n">
        <f aca="false">(1-$B$5)*'2. Market Data'!F134+$B$5*$B$6</f>
        <v>0.15333156545238</v>
      </c>
      <c r="G12" s="12" t="n">
        <f aca="false">(1-$B$5)*'2. Market Data'!G134+$B$5*$B$6</f>
        <v>0.153332781322942</v>
      </c>
      <c r="H12" s="12" t="n">
        <f aca="false">(1-$B$5)*'2. Market Data'!H134+$B$5*$B$6</f>
        <v>0.153332249032272</v>
      </c>
    </row>
    <row r="13" customFormat="false" ht="15" hidden="false" customHeight="false" outlineLevel="0" collapsed="false">
      <c r="A13" s="9" t="s">
        <v>22</v>
      </c>
      <c r="B13" s="12" t="n">
        <f aca="false">(1-$B$5)*'2. Market Data'!B135+$B$5*$B$6</f>
        <v>-2.23436402394694E-006</v>
      </c>
      <c r="C13" s="12" t="n">
        <f aca="false">(1-$B$5)*'2. Market Data'!C135+$B$5*$B$6</f>
        <v>-1.51930087315229E-006</v>
      </c>
      <c r="D13" s="12" t="n">
        <f aca="false">(1-$B$5)*'2. Market Data'!D135+$B$5*$B$6</f>
        <v>-7.35519331935882E-007</v>
      </c>
      <c r="E13" s="12" t="n">
        <f aca="false">(1-$B$5)*'2. Market Data'!E135+$B$5*$B$6</f>
        <v>0.15333156545238</v>
      </c>
      <c r="F13" s="12" t="n">
        <v>1</v>
      </c>
      <c r="G13" s="12" t="n">
        <f aca="false">(1-$B$5)*'2. Market Data'!G135+$B$5*$B$6</f>
        <v>0.945434833905644</v>
      </c>
      <c r="H13" s="12" t="n">
        <f aca="false">(1-$B$5)*'2. Market Data'!H135+$B$5*$B$6</f>
        <v>0.921796754044996</v>
      </c>
    </row>
    <row r="14" customFormat="false" ht="15" hidden="false" customHeight="false" outlineLevel="0" collapsed="false">
      <c r="A14" s="9" t="s">
        <v>23</v>
      </c>
      <c r="B14" s="12" t="n">
        <f aca="false">(1-$B$5)*'2. Market Data'!B136+$B$5*$B$6</f>
        <v>-5.69819985205641E-006</v>
      </c>
      <c r="C14" s="12" t="n">
        <f aca="false">(1-$B$5)*'2. Market Data'!C136+$B$5*$B$6</f>
        <v>-2.32321496876725E-006</v>
      </c>
      <c r="D14" s="12" t="n">
        <f aca="false">(1-$B$5)*'2. Market Data'!D136+$B$5*$B$6</f>
        <v>1.84436902953189E-007</v>
      </c>
      <c r="E14" s="12" t="n">
        <f aca="false">(1-$B$5)*'2. Market Data'!E136+$B$5*$B$6</f>
        <v>0.153332781322942</v>
      </c>
      <c r="F14" s="12" t="n">
        <f aca="false">(1-$B$5)*'2. Market Data'!F136+$B$5*$B$6</f>
        <v>0.945434833905644</v>
      </c>
      <c r="G14" s="12" t="n">
        <v>1</v>
      </c>
      <c r="H14" s="12" t="n">
        <f aca="false">(1-$B$5)*'2. Market Data'!H136+$B$5*$B$6</f>
        <v>0.991151899181521</v>
      </c>
    </row>
    <row r="15" customFormat="false" ht="15" hidden="false" customHeight="false" outlineLevel="0" collapsed="false">
      <c r="A15" s="9" t="s">
        <v>24</v>
      </c>
      <c r="B15" s="12" t="n">
        <f aca="false">(1-$B$5)*'2. Market Data'!B137+$B$5*$B$6</f>
        <v>-6.60227270540916E-006</v>
      </c>
      <c r="C15" s="12" t="n">
        <f aca="false">(1-$B$5)*'2. Market Data'!C137+$B$5*$B$6</f>
        <v>-2.23610249716573E-006</v>
      </c>
      <c r="D15" s="12" t="n">
        <f aca="false">(1-$B$5)*'2. Market Data'!D137+$B$5*$B$6</f>
        <v>1.78484097958385E-007</v>
      </c>
      <c r="E15" s="12" t="n">
        <f aca="false">(1-$B$5)*'2. Market Data'!E137+$B$5*$B$6</f>
        <v>0.153332249032272</v>
      </c>
      <c r="F15" s="12" t="n">
        <f aca="false">(1-$B$5)*'2. Market Data'!F137+$B$5*$B$6</f>
        <v>0.921796754044996</v>
      </c>
      <c r="G15" s="12" t="n">
        <f aca="false">(1-$B$5)*'2. Market Data'!G137+$B$5*$B$6</f>
        <v>0.991151899181521</v>
      </c>
      <c r="H15" s="12" t="n">
        <v>1</v>
      </c>
    </row>
    <row r="17" customFormat="false" ht="16.15" hidden="false" customHeight="false" outlineLevel="0" collapsed="false">
      <c r="A17" s="13" t="s">
        <v>254</v>
      </c>
    </row>
    <row r="18" customFormat="false" ht="28.35" hidden="false" customHeight="false" outlineLevel="0" collapsed="false">
      <c r="A18" s="7"/>
      <c r="B18" s="7" t="s">
        <v>18</v>
      </c>
      <c r="C18" s="7" t="s">
        <v>19</v>
      </c>
      <c r="D18" s="7" t="s">
        <v>20</v>
      </c>
      <c r="E18" s="7" t="s">
        <v>21</v>
      </c>
      <c r="F18" s="7" t="s">
        <v>22</v>
      </c>
      <c r="G18" s="7" t="s">
        <v>23</v>
      </c>
      <c r="H18" s="7" t="s">
        <v>24</v>
      </c>
    </row>
    <row r="19" customFormat="false" ht="15" hidden="false" customHeight="false" outlineLevel="0" collapsed="false">
      <c r="A19" s="9" t="s">
        <v>18</v>
      </c>
      <c r="B19" s="28" t="n">
        <f aca="false">'3. Assumptions'!D5*'3. Assumptions'!D5*B9</f>
        <v>0.000224998913542857</v>
      </c>
      <c r="C19" s="28" t="n">
        <f aca="false">'3. Assumptions'!D5*'3. Assumptions'!D6*C9</f>
        <v>0.000120911331322689</v>
      </c>
      <c r="D19" s="28" t="n">
        <f aca="false">'3. Assumptions'!D5*'3. Assumptions'!D7*D9</f>
        <v>0.000321811740468908</v>
      </c>
      <c r="E19" s="28" t="n">
        <f aca="false">'3. Assumptions'!D5*'3. Assumptions'!D8*E9</f>
        <v>2.78100672268894E-009</v>
      </c>
      <c r="F19" s="28" t="n">
        <f aca="false">'3. Assumptions'!D5*'3. Assumptions'!D9*F9</f>
        <v>-4.85972941180288E-009</v>
      </c>
      <c r="G19" s="28" t="n">
        <f aca="false">'3. Assumptions'!D5*'3. Assumptions'!D10*G9</f>
        <v>-1.62398352941289E-008</v>
      </c>
      <c r="H19" s="28" t="n">
        <f aca="false">'3. Assumptions'!D5*'3. Assumptions'!D11*H9</f>
        <v>-2.32729731092522E-008</v>
      </c>
    </row>
    <row r="20" customFormat="false" ht="15" hidden="false" customHeight="false" outlineLevel="0" collapsed="false">
      <c r="A20" s="9" t="s">
        <v>19</v>
      </c>
      <c r="B20" s="28" t="n">
        <f aca="false">'3. Assumptions'!D6*'3. Assumptions'!D5*B10</f>
        <v>0.000120911331322689</v>
      </c>
      <c r="C20" s="28" t="n">
        <f aca="false">'3. Assumptions'!D6*'3. Assumptions'!D6*C10</f>
        <v>0.000900003893740337</v>
      </c>
      <c r="D20" s="28" t="n">
        <f aca="false">'3. Assumptions'!D6*'3. Assumptions'!D7*D10</f>
        <v>0.00173676382477059</v>
      </c>
      <c r="E20" s="28" t="n">
        <f aca="false">'3. Assumptions'!D6*'3. Assumptions'!D8*E10</f>
        <v>-1.09878680672308E-008</v>
      </c>
      <c r="F20" s="28" t="n">
        <f aca="false">'3. Assumptions'!D6*'3. Assumptions'!D9*F10</f>
        <v>-6.60897226892761E-009</v>
      </c>
      <c r="G20" s="28" t="n">
        <f aca="false">'3. Assumptions'!D6*'3. Assumptions'!D10*G10</f>
        <v>-1.32423579831791E-008</v>
      </c>
      <c r="H20" s="28" t="n">
        <f aca="false">'3. Assumptions'!D6*'3. Assumptions'!D11*H10</f>
        <v>-1.5764568907485E-008</v>
      </c>
    </row>
    <row r="21" customFormat="false" ht="15" hidden="false" customHeight="false" outlineLevel="0" collapsed="false">
      <c r="A21" s="9" t="s">
        <v>20</v>
      </c>
      <c r="B21" s="28" t="n">
        <f aca="false">'3. Assumptions'!D7*'3. Assumptions'!D5*B11</f>
        <v>0.000321811740468908</v>
      </c>
      <c r="C21" s="28" t="n">
        <f aca="false">'3. Assumptions'!D7*'3. Assumptions'!D6*C11</f>
        <v>0.00173676382477059</v>
      </c>
      <c r="D21" s="28" t="n">
        <f aca="false">'3. Assumptions'!D7*'3. Assumptions'!D7*D11</f>
        <v>0.0462250079736126</v>
      </c>
      <c r="E21" s="28" t="n">
        <f aca="false">'3. Assumptions'!D7*'3. Assumptions'!D8*E11</f>
        <v>0.0109043760534781</v>
      </c>
      <c r="F21" s="28" t="n">
        <f aca="false">'3. Assumptions'!D7*'3. Assumptions'!D9*F11</f>
        <v>-2.29298142859946E-008</v>
      </c>
      <c r="G21" s="28" t="n">
        <f aca="false">'3. Assumptions'!D7*'3. Assumptions'!D10*G11</f>
        <v>7.53425042011973E-009</v>
      </c>
      <c r="H21" s="28" t="n">
        <f aca="false">'3. Assumptions'!D7*'3. Assumptions'!D11*H11</f>
        <v>9.01791680646624E-009</v>
      </c>
    </row>
    <row r="22" customFormat="false" ht="15" hidden="false" customHeight="false" outlineLevel="0" collapsed="false">
      <c r="A22" s="9" t="s">
        <v>21</v>
      </c>
      <c r="B22" s="28" t="n">
        <f aca="false">'3. Assumptions'!D8*'3. Assumptions'!D5*B12</f>
        <v>2.78100672268894E-009</v>
      </c>
      <c r="C22" s="28" t="n">
        <f aca="false">'3. Assumptions'!D8*'3. Assumptions'!D6*C12</f>
        <v>-1.09878680672308E-008</v>
      </c>
      <c r="D22" s="28" t="n">
        <f aca="false">'3. Assumptions'!D8*'3. Assumptions'!D7*D12</f>
        <v>0.0109043760534781</v>
      </c>
      <c r="E22" s="28" t="n">
        <f aca="false">'3. Assumptions'!D8*'3. Assumptions'!D8*E12</f>
        <v>0.00809998453724286</v>
      </c>
      <c r="F22" s="28" t="n">
        <f aca="false">'3. Assumptions'!D8*'3. Assumptions'!D9*F12</f>
        <v>0.00200097476924454</v>
      </c>
      <c r="G22" s="28" t="n">
        <f aca="false">'3. Assumptions'!D8*'3. Assumptions'!D10*G12</f>
        <v>0.00262198885304034</v>
      </c>
      <c r="H22" s="28" t="n">
        <f aca="false">'3. Assumptions'!D8*'3. Assumptions'!D11*H12</f>
        <v>0.00324297648151344</v>
      </c>
    </row>
    <row r="23" customFormat="false" ht="15" hidden="false" customHeight="false" outlineLevel="0" collapsed="false">
      <c r="A23" s="9" t="s">
        <v>22</v>
      </c>
      <c r="B23" s="28" t="n">
        <f aca="false">'3. Assumptions'!D9*'3. Assumptions'!D5*B13</f>
        <v>-4.85972941180288E-009</v>
      </c>
      <c r="C23" s="28" t="n">
        <f aca="false">'3. Assumptions'!D9*'3. Assumptions'!D6*C13</f>
        <v>-6.60897226892761E-009</v>
      </c>
      <c r="D23" s="28" t="n">
        <f aca="false">'3. Assumptions'!D9*'3. Assumptions'!D7*D13</f>
        <v>-2.29298142859946E-008</v>
      </c>
      <c r="E23" s="28" t="n">
        <f aca="false">'3. Assumptions'!D9*'3. Assumptions'!D8*E13</f>
        <v>0.00200097476924454</v>
      </c>
      <c r="F23" s="28" t="n">
        <f aca="false">'3. Assumptions'!D9*'3. Assumptions'!D9*F13</f>
        <v>0.021024994746453</v>
      </c>
      <c r="G23" s="28" t="n">
        <f aca="false">'3. Assumptions'!D9*'3. Assumptions'!D10*G13</f>
        <v>0.0260467343182874</v>
      </c>
      <c r="H23" s="28" t="n">
        <f aca="false">'3. Assumptions'!D9*'3. Assumptions'!D11*H13</f>
        <v>0.0314102447795286</v>
      </c>
    </row>
    <row r="24" customFormat="false" ht="15" hidden="false" customHeight="false" outlineLevel="0" collapsed="false">
      <c r="A24" s="9" t="s">
        <v>23</v>
      </c>
      <c r="B24" s="28" t="n">
        <f aca="false">'3. Assumptions'!D10*'3. Assumptions'!D5*B14</f>
        <v>-1.62398352941289E-008</v>
      </c>
      <c r="C24" s="28" t="n">
        <f aca="false">'3. Assumptions'!D10*'3. Assumptions'!D6*C14</f>
        <v>-1.32423579831791E-008</v>
      </c>
      <c r="D24" s="28" t="n">
        <f aca="false">'3. Assumptions'!D10*'3. Assumptions'!D7*D14</f>
        <v>7.53425042011973E-009</v>
      </c>
      <c r="E24" s="28" t="n">
        <f aca="false">'3. Assumptions'!D10*'3. Assumptions'!D8*E14</f>
        <v>0.00262198885304034</v>
      </c>
      <c r="F24" s="28" t="n">
        <f aca="false">'3. Assumptions'!D10*'3. Assumptions'!D9*F14</f>
        <v>0.0260467343182874</v>
      </c>
      <c r="G24" s="28" t="n">
        <f aca="false">'3. Assumptions'!D10*'3. Assumptions'!D10*G14</f>
        <v>0.0361000218937781</v>
      </c>
      <c r="H24" s="28" t="n">
        <f aca="false">'3. Assumptions'!D10*'3. Assumptions'!D11*H14</f>
        <v>0.0442549799690101</v>
      </c>
    </row>
    <row r="25" customFormat="false" ht="15" hidden="false" customHeight="false" outlineLevel="0" collapsed="false">
      <c r="A25" s="9" t="s">
        <v>24</v>
      </c>
      <c r="B25" s="28" t="n">
        <f aca="false">'3. Assumptions'!D11*'3. Assumptions'!D5*B15</f>
        <v>-2.32729731092522E-008</v>
      </c>
      <c r="C25" s="28" t="n">
        <f aca="false">'3. Assumptions'!D11*'3. Assumptions'!D6*C15</f>
        <v>-1.5764568907485E-008</v>
      </c>
      <c r="D25" s="28" t="n">
        <f aca="false">'3. Assumptions'!D11*'3. Assumptions'!D7*D15</f>
        <v>9.01791680646624E-009</v>
      </c>
      <c r="E25" s="28" t="n">
        <f aca="false">'3. Assumptions'!D11*'3. Assumptions'!D8*E15</f>
        <v>0.00324297648151344</v>
      </c>
      <c r="F25" s="28" t="n">
        <f aca="false">'3. Assumptions'!D11*'3. Assumptions'!D9*F15</f>
        <v>0.0314102447795286</v>
      </c>
      <c r="G25" s="28" t="n">
        <f aca="false">'3. Assumptions'!D11*'3. Assumptions'!D10*G15</f>
        <v>0.0442549799690101</v>
      </c>
      <c r="H25" s="28" t="n">
        <f aca="false">'3. Assumptions'!D11*'3. Assumptions'!D11*H15</f>
        <v>0.0552250854819823</v>
      </c>
    </row>
    <row r="27" customFormat="false" ht="15" hidden="false" customHeight="false" outlineLevel="0" collapsed="false">
      <c r="A27" s="9" t="s">
        <v>255</v>
      </c>
      <c r="B27" s="15" t="n">
        <f aca="false">'3. Assumptions'!C5</f>
        <v>0.0552398323386303</v>
      </c>
      <c r="C27" s="15" t="n">
        <f aca="false">'3. Assumptions'!C6</f>
        <v>0.070752542447684</v>
      </c>
      <c r="D27" s="15" t="n">
        <f aca="false">'3. Assumptions'!C7</f>
        <v>0.0962675922781853</v>
      </c>
      <c r="E27" s="15" t="n">
        <f aca="false">'3. Assumptions'!C8</f>
        <v>0.121282341447363</v>
      </c>
      <c r="F27" s="15" t="n">
        <f aca="false">'3. Assumptions'!C9</f>
        <v>0.140661835803193</v>
      </c>
      <c r="G27" s="15" t="n">
        <f aca="false">'3. Assumptions'!C10</f>
        <v>0.145398403200853</v>
      </c>
      <c r="H27" s="15" t="n">
        <f aca="false">'3. Assumptions'!C11</f>
        <v>0.122467890262955</v>
      </c>
    </row>
    <row r="29" customFormat="false" ht="15" hidden="false" customHeight="false" outlineLevel="0" collapsed="false">
      <c r="A29" s="11" t="s">
        <v>256</v>
      </c>
    </row>
    <row r="30" customFormat="false" ht="15" hidden="false" customHeight="false" outlineLevel="0" collapsed="false">
      <c r="A30" s="9" t="s">
        <v>257</v>
      </c>
      <c r="B30" s="17" t="n">
        <v>0</v>
      </c>
      <c r="C30" s="17" t="n">
        <v>0.154178</v>
      </c>
      <c r="D30" s="17" t="n">
        <v>0.095822</v>
      </c>
      <c r="E30" s="17" t="n">
        <v>0.2</v>
      </c>
      <c r="F30" s="17" t="n">
        <v>0.35</v>
      </c>
      <c r="G30" s="17" t="n">
        <v>0.2</v>
      </c>
      <c r="H30" s="17" t="n">
        <v>0</v>
      </c>
    </row>
    <row r="31" customFormat="false" ht="15" hidden="false" customHeight="false" outlineLevel="0" collapsed="false">
      <c r="A31" s="14" t="s">
        <v>258</v>
      </c>
      <c r="B31" s="29" t="n">
        <f aca="false">SUM(B30:H30)</f>
        <v>1</v>
      </c>
    </row>
    <row r="32" customFormat="false" ht="15" hidden="false" customHeight="false" outlineLevel="0" collapsed="false">
      <c r="A32" s="30" t="s">
        <v>259</v>
      </c>
    </row>
    <row r="33" customFormat="false" ht="15" hidden="false" customHeight="false" outlineLevel="0" collapsed="false">
      <c r="B33" s="31" t="n">
        <f aca="false">B30*B30</f>
        <v>0</v>
      </c>
      <c r="C33" s="31" t="n">
        <f aca="false">B30*C30</f>
        <v>0</v>
      </c>
      <c r="D33" s="31" t="n">
        <f aca="false">B30*D30</f>
        <v>0</v>
      </c>
      <c r="E33" s="31" t="n">
        <f aca="false">B30*E30</f>
        <v>0</v>
      </c>
      <c r="F33" s="31" t="n">
        <f aca="false">B30*F30</f>
        <v>0</v>
      </c>
      <c r="G33" s="31" t="n">
        <f aca="false">B30*G30</f>
        <v>0</v>
      </c>
      <c r="H33" s="31" t="n">
        <f aca="false">B30*H30</f>
        <v>0</v>
      </c>
    </row>
    <row r="34" customFormat="false" ht="15" hidden="false" customHeight="false" outlineLevel="0" collapsed="false">
      <c r="B34" s="31" t="n">
        <f aca="false">C30*B30</f>
        <v>0</v>
      </c>
      <c r="C34" s="31" t="n">
        <f aca="false">C30*C30</f>
        <v>0.023770855684</v>
      </c>
      <c r="D34" s="31" t="n">
        <f aca="false">C30*D30</f>
        <v>0.014773644316</v>
      </c>
      <c r="E34" s="31" t="n">
        <f aca="false">C30*E30</f>
        <v>0.0308356</v>
      </c>
      <c r="F34" s="31" t="n">
        <f aca="false">C30*F30</f>
        <v>0.0539623</v>
      </c>
      <c r="G34" s="31" t="n">
        <f aca="false">C30*G30</f>
        <v>0.0308356</v>
      </c>
      <c r="H34" s="31" t="n">
        <f aca="false">C30*H30</f>
        <v>0</v>
      </c>
    </row>
    <row r="35" customFormat="false" ht="15" hidden="false" customHeight="false" outlineLevel="0" collapsed="false">
      <c r="B35" s="31" t="n">
        <f aca="false">D30*B30</f>
        <v>0</v>
      </c>
      <c r="C35" s="31" t="n">
        <f aca="false">D30*C30</f>
        <v>0.014773644316</v>
      </c>
      <c r="D35" s="31" t="n">
        <f aca="false">D30*D30</f>
        <v>0.009181855684</v>
      </c>
      <c r="E35" s="31" t="n">
        <f aca="false">D30*E30</f>
        <v>0.0191644</v>
      </c>
      <c r="F35" s="31" t="n">
        <f aca="false">D30*F30</f>
        <v>0.0335377</v>
      </c>
      <c r="G35" s="31" t="n">
        <f aca="false">D30*G30</f>
        <v>0.0191644</v>
      </c>
      <c r="H35" s="31" t="n">
        <f aca="false">D30*H30</f>
        <v>0</v>
      </c>
    </row>
    <row r="36" customFormat="false" ht="15" hidden="false" customHeight="false" outlineLevel="0" collapsed="false">
      <c r="B36" s="31" t="n">
        <f aca="false">E30*B30</f>
        <v>0</v>
      </c>
      <c r="C36" s="31" t="n">
        <f aca="false">E30*C30</f>
        <v>0.0308356</v>
      </c>
      <c r="D36" s="31" t="n">
        <f aca="false">E30*D30</f>
        <v>0.0191644</v>
      </c>
      <c r="E36" s="31" t="n">
        <f aca="false">E30*E30</f>
        <v>0.04</v>
      </c>
      <c r="F36" s="31" t="n">
        <f aca="false">E30*F30</f>
        <v>0.07</v>
      </c>
      <c r="G36" s="31" t="n">
        <f aca="false">E30*G30</f>
        <v>0.04</v>
      </c>
      <c r="H36" s="31" t="n">
        <f aca="false">E30*H30</f>
        <v>0</v>
      </c>
    </row>
    <row r="37" customFormat="false" ht="15" hidden="false" customHeight="false" outlineLevel="0" collapsed="false">
      <c r="B37" s="31" t="n">
        <f aca="false">F30*B30</f>
        <v>0</v>
      </c>
      <c r="C37" s="31" t="n">
        <f aca="false">F30*C30</f>
        <v>0.0539623</v>
      </c>
      <c r="D37" s="31" t="n">
        <f aca="false">F30*D30</f>
        <v>0.0335377</v>
      </c>
      <c r="E37" s="31" t="n">
        <f aca="false">F30*E30</f>
        <v>0.07</v>
      </c>
      <c r="F37" s="31" t="n">
        <f aca="false">F30*F30</f>
        <v>0.1225</v>
      </c>
      <c r="G37" s="31" t="n">
        <f aca="false">F30*G30</f>
        <v>0.07</v>
      </c>
      <c r="H37" s="31" t="n">
        <f aca="false">F30*H30</f>
        <v>0</v>
      </c>
    </row>
    <row r="38" customFormat="false" ht="15" hidden="false" customHeight="false" outlineLevel="0" collapsed="false">
      <c r="B38" s="31" t="n">
        <f aca="false">G30*B30</f>
        <v>0</v>
      </c>
      <c r="C38" s="31" t="n">
        <f aca="false">G30*C30</f>
        <v>0.0308356</v>
      </c>
      <c r="D38" s="31" t="n">
        <f aca="false">G30*D30</f>
        <v>0.0191644</v>
      </c>
      <c r="E38" s="31" t="n">
        <f aca="false">G30*E30</f>
        <v>0.04</v>
      </c>
      <c r="F38" s="31" t="n">
        <f aca="false">G30*F30</f>
        <v>0.07</v>
      </c>
      <c r="G38" s="31" t="n">
        <f aca="false">G30*G30</f>
        <v>0.04</v>
      </c>
      <c r="H38" s="31" t="n">
        <f aca="false">G30*H30</f>
        <v>0</v>
      </c>
    </row>
    <row r="39" customFormat="false" ht="15" hidden="false" customHeight="false" outlineLevel="0" collapsed="false">
      <c r="B39" s="31" t="n">
        <f aca="false">H30*B30</f>
        <v>0</v>
      </c>
      <c r="C39" s="31" t="n">
        <f aca="false">H30*C30</f>
        <v>0</v>
      </c>
      <c r="D39" s="31" t="n">
        <f aca="false">H30*D30</f>
        <v>0</v>
      </c>
      <c r="E39" s="31" t="n">
        <f aca="false">H30*E30</f>
        <v>0</v>
      </c>
      <c r="F39" s="31" t="n">
        <f aca="false">H30*F30</f>
        <v>0</v>
      </c>
      <c r="G39" s="31" t="n">
        <f aca="false">H30*G30</f>
        <v>0</v>
      </c>
      <c r="H39" s="31" t="n">
        <f aca="false">H30*H30</f>
        <v>0</v>
      </c>
    </row>
    <row r="40" customFormat="false" ht="15" hidden="false" customHeight="false" outlineLevel="0" collapsed="false">
      <c r="A40" s="14" t="s">
        <v>260</v>
      </c>
      <c r="B40" s="10" t="n">
        <f aca="false">SUMPRODUCT(B30:H30,B27:H27)</f>
        <v>0.12270083017754</v>
      </c>
    </row>
    <row r="41" customFormat="false" ht="15" hidden="false" customHeight="false" outlineLevel="0" collapsed="false">
      <c r="A41" s="14" t="s">
        <v>261</v>
      </c>
      <c r="B41" s="32" t="n">
        <f aca="false">SUMPRODUCT(B33:H39,B19:H25)</f>
        <v>0.0093950905631268</v>
      </c>
    </row>
    <row r="42" customFormat="false" ht="15" hidden="false" customHeight="false" outlineLevel="0" collapsed="false">
      <c r="A42" s="14" t="s">
        <v>262</v>
      </c>
      <c r="B42" s="10" t="n">
        <f aca="false">SQRT(B41)</f>
        <v>0.0969282753541339</v>
      </c>
    </row>
    <row r="43" customFormat="false" ht="15" hidden="false" customHeight="false" outlineLevel="0" collapsed="false">
      <c r="A43" s="14" t="s">
        <v>263</v>
      </c>
      <c r="B43" s="33" t="n">
        <f aca="false">(B40-'3. Assumptions'!B27)/B42</f>
        <v>0.719096980967458</v>
      </c>
    </row>
    <row r="44" customFormat="false" ht="15" hidden="false" customHeight="false" outlineLevel="0" collapsed="false">
      <c r="A44" s="9" t="s">
        <v>264</v>
      </c>
      <c r="B44" s="34" t="n">
        <f aca="false">B40-0.5*'4. Risk &amp; Portfolio Rules'!C5*B41</f>
        <v>0.106259421692068</v>
      </c>
    </row>
    <row r="46" customFormat="false" ht="15" hidden="false" customHeight="false" outlineLevel="0" collapsed="false">
      <c r="A46" s="11" t="s">
        <v>265</v>
      </c>
    </row>
    <row r="47" customFormat="false" ht="15" hidden="false" customHeight="false" outlineLevel="0" collapsed="false">
      <c r="A47" s="9" t="s">
        <v>257</v>
      </c>
      <c r="B47" s="29" t="n">
        <v>0.142857142857143</v>
      </c>
      <c r="C47" s="29" t="n">
        <v>0.142857142857143</v>
      </c>
      <c r="D47" s="29" t="n">
        <v>0.142857142857143</v>
      </c>
      <c r="E47" s="29" t="n">
        <v>0.142857142857143</v>
      </c>
      <c r="F47" s="29" t="n">
        <v>0.142857142857143</v>
      </c>
      <c r="G47" s="29" t="n">
        <v>0.142857142857143</v>
      </c>
      <c r="H47" s="29" t="n">
        <v>0.142857142857143</v>
      </c>
    </row>
    <row r="48" customFormat="false" ht="15" hidden="false" customHeight="false" outlineLevel="0" collapsed="false">
      <c r="A48" s="14" t="s">
        <v>258</v>
      </c>
      <c r="B48" s="29" t="n">
        <f aca="false">SUM(B47:H47)</f>
        <v>1</v>
      </c>
    </row>
    <row r="49" customFormat="false" ht="15" hidden="false" customHeight="false" outlineLevel="0" collapsed="false">
      <c r="A49" s="30" t="s">
        <v>259</v>
      </c>
    </row>
    <row r="50" customFormat="false" ht="15" hidden="false" customHeight="false" outlineLevel="0" collapsed="false">
      <c r="B50" s="31" t="n">
        <f aca="false">B47*B47</f>
        <v>0.0204081632653061</v>
      </c>
      <c r="C50" s="31" t="n">
        <f aca="false">B47*C47</f>
        <v>0.0204081632653061</v>
      </c>
      <c r="D50" s="31" t="n">
        <f aca="false">B47*D47</f>
        <v>0.0204081632653061</v>
      </c>
      <c r="E50" s="31" t="n">
        <f aca="false">B47*E47</f>
        <v>0.0204081632653061</v>
      </c>
      <c r="F50" s="31" t="n">
        <f aca="false">B47*F47</f>
        <v>0.0204081632653061</v>
      </c>
      <c r="G50" s="31" t="n">
        <f aca="false">B47*G47</f>
        <v>0.0204081632653061</v>
      </c>
      <c r="H50" s="31" t="n">
        <f aca="false">B47*H47</f>
        <v>0.0204081632653061</v>
      </c>
    </row>
    <row r="51" customFormat="false" ht="15" hidden="false" customHeight="false" outlineLevel="0" collapsed="false">
      <c r="B51" s="31" t="n">
        <f aca="false">C47*B47</f>
        <v>0.0204081632653061</v>
      </c>
      <c r="C51" s="31" t="n">
        <f aca="false">C47*C47</f>
        <v>0.0204081632653061</v>
      </c>
      <c r="D51" s="31" t="n">
        <f aca="false">C47*D47</f>
        <v>0.0204081632653061</v>
      </c>
      <c r="E51" s="31" t="n">
        <f aca="false">C47*E47</f>
        <v>0.0204081632653061</v>
      </c>
      <c r="F51" s="31" t="n">
        <f aca="false">C47*F47</f>
        <v>0.0204081632653061</v>
      </c>
      <c r="G51" s="31" t="n">
        <f aca="false">C47*G47</f>
        <v>0.0204081632653061</v>
      </c>
      <c r="H51" s="31" t="n">
        <f aca="false">C47*H47</f>
        <v>0.0204081632653061</v>
      </c>
    </row>
    <row r="52" customFormat="false" ht="15" hidden="false" customHeight="false" outlineLevel="0" collapsed="false">
      <c r="B52" s="31" t="n">
        <f aca="false">D47*B47</f>
        <v>0.0204081632653061</v>
      </c>
      <c r="C52" s="31" t="n">
        <f aca="false">D47*C47</f>
        <v>0.0204081632653061</v>
      </c>
      <c r="D52" s="31" t="n">
        <f aca="false">D47*D47</f>
        <v>0.0204081632653061</v>
      </c>
      <c r="E52" s="31" t="n">
        <f aca="false">D47*E47</f>
        <v>0.0204081632653061</v>
      </c>
      <c r="F52" s="31" t="n">
        <f aca="false">D47*F47</f>
        <v>0.0204081632653061</v>
      </c>
      <c r="G52" s="31" t="n">
        <f aca="false">D47*G47</f>
        <v>0.0204081632653061</v>
      </c>
      <c r="H52" s="31" t="n">
        <f aca="false">D47*H47</f>
        <v>0.0204081632653061</v>
      </c>
    </row>
    <row r="53" customFormat="false" ht="15" hidden="false" customHeight="false" outlineLevel="0" collapsed="false">
      <c r="B53" s="31" t="n">
        <f aca="false">E47*B47</f>
        <v>0.0204081632653061</v>
      </c>
      <c r="C53" s="31" t="n">
        <f aca="false">E47*C47</f>
        <v>0.0204081632653061</v>
      </c>
      <c r="D53" s="31" t="n">
        <f aca="false">E47*D47</f>
        <v>0.0204081632653061</v>
      </c>
      <c r="E53" s="31" t="n">
        <f aca="false">E47*E47</f>
        <v>0.0204081632653061</v>
      </c>
      <c r="F53" s="31" t="n">
        <f aca="false">E47*F47</f>
        <v>0.0204081632653061</v>
      </c>
      <c r="G53" s="31" t="n">
        <f aca="false">E47*G47</f>
        <v>0.0204081632653061</v>
      </c>
      <c r="H53" s="31" t="n">
        <f aca="false">E47*H47</f>
        <v>0.0204081632653061</v>
      </c>
    </row>
    <row r="54" customFormat="false" ht="15" hidden="false" customHeight="false" outlineLevel="0" collapsed="false">
      <c r="B54" s="31" t="n">
        <f aca="false">F47*B47</f>
        <v>0.0204081632653061</v>
      </c>
      <c r="C54" s="31" t="n">
        <f aca="false">F47*C47</f>
        <v>0.0204081632653061</v>
      </c>
      <c r="D54" s="31" t="n">
        <f aca="false">F47*D47</f>
        <v>0.0204081632653061</v>
      </c>
      <c r="E54" s="31" t="n">
        <f aca="false">F47*E47</f>
        <v>0.0204081632653061</v>
      </c>
      <c r="F54" s="31" t="n">
        <f aca="false">F47*F47</f>
        <v>0.0204081632653061</v>
      </c>
      <c r="G54" s="31" t="n">
        <f aca="false">F47*G47</f>
        <v>0.0204081632653061</v>
      </c>
      <c r="H54" s="31" t="n">
        <f aca="false">F47*H47</f>
        <v>0.0204081632653061</v>
      </c>
    </row>
    <row r="55" customFormat="false" ht="15" hidden="false" customHeight="false" outlineLevel="0" collapsed="false">
      <c r="B55" s="31" t="n">
        <f aca="false">G47*B47</f>
        <v>0.0204081632653061</v>
      </c>
      <c r="C55" s="31" t="n">
        <f aca="false">G47*C47</f>
        <v>0.0204081632653061</v>
      </c>
      <c r="D55" s="31" t="n">
        <f aca="false">G47*D47</f>
        <v>0.0204081632653061</v>
      </c>
      <c r="E55" s="31" t="n">
        <f aca="false">G47*E47</f>
        <v>0.0204081632653061</v>
      </c>
      <c r="F55" s="31" t="n">
        <f aca="false">G47*F47</f>
        <v>0.0204081632653061</v>
      </c>
      <c r="G55" s="31" t="n">
        <f aca="false">G47*G47</f>
        <v>0.0204081632653061</v>
      </c>
      <c r="H55" s="31" t="n">
        <f aca="false">G47*H47</f>
        <v>0.0204081632653061</v>
      </c>
    </row>
    <row r="56" customFormat="false" ht="15" hidden="false" customHeight="false" outlineLevel="0" collapsed="false">
      <c r="B56" s="31" t="n">
        <f aca="false">H47*B47</f>
        <v>0.0204081632653061</v>
      </c>
      <c r="C56" s="31" t="n">
        <f aca="false">H47*C47</f>
        <v>0.0204081632653061</v>
      </c>
      <c r="D56" s="31" t="n">
        <f aca="false">H47*D47</f>
        <v>0.0204081632653061</v>
      </c>
      <c r="E56" s="31" t="n">
        <f aca="false">H47*E47</f>
        <v>0.0204081632653061</v>
      </c>
      <c r="F56" s="31" t="n">
        <f aca="false">H47*F47</f>
        <v>0.0204081632653061</v>
      </c>
      <c r="G56" s="31" t="n">
        <f aca="false">H47*G47</f>
        <v>0.0204081632653061</v>
      </c>
      <c r="H56" s="31" t="n">
        <f aca="false">H47*H47</f>
        <v>0.0204081632653061</v>
      </c>
    </row>
    <row r="57" customFormat="false" ht="15" hidden="false" customHeight="false" outlineLevel="0" collapsed="false">
      <c r="A57" s="14" t="s">
        <v>260</v>
      </c>
      <c r="B57" s="10" t="n">
        <f aca="false">SUMPRODUCT(B47:H47,B27:H27)</f>
        <v>0.107438633968409</v>
      </c>
    </row>
    <row r="58" customFormat="false" ht="15" hidden="false" customHeight="false" outlineLevel="0" collapsed="false">
      <c r="A58" s="14" t="s">
        <v>261</v>
      </c>
      <c r="B58" s="32" t="n">
        <f aca="false">SUMPRODUCT(B50:H56,B19:H25)</f>
        <v>0.00843109045991409</v>
      </c>
    </row>
    <row r="59" customFormat="false" ht="15" hidden="false" customHeight="false" outlineLevel="0" collapsed="false">
      <c r="A59" s="14" t="s">
        <v>262</v>
      </c>
      <c r="B59" s="10" t="n">
        <f aca="false">SQRT(B58)</f>
        <v>0.0918209696088758</v>
      </c>
    </row>
    <row r="60" customFormat="false" ht="15" hidden="false" customHeight="false" outlineLevel="0" collapsed="false">
      <c r="A60" s="14" t="s">
        <v>263</v>
      </c>
      <c r="B60" s="33" t="n">
        <f aca="false">(B57-'3. Assumptions'!B27)/B59</f>
        <v>0.59287801250954</v>
      </c>
    </row>
    <row r="61" customFormat="false" ht="15" hidden="false" customHeight="false" outlineLevel="0" collapsed="false">
      <c r="A61" s="9" t="s">
        <v>264</v>
      </c>
      <c r="B61" s="34" t="n">
        <f aca="false">B57-0.5*'4. Risk &amp; Portfolio Rules'!C5*B58</f>
        <v>0.0926842256635595</v>
      </c>
    </row>
    <row r="63" customFormat="false" ht="15" hidden="false" customHeight="false" outlineLevel="0" collapsed="false">
      <c r="A63" s="11" t="s">
        <v>266</v>
      </c>
    </row>
    <row r="64" customFormat="false" ht="15" hidden="false" customHeight="false" outlineLevel="0" collapsed="false">
      <c r="A64" s="9" t="s">
        <v>257</v>
      </c>
      <c r="B64" s="29" t="n">
        <v>0</v>
      </c>
      <c r="C64" s="29" t="n">
        <v>0</v>
      </c>
      <c r="D64" s="29" t="n">
        <v>0</v>
      </c>
      <c r="E64" s="29" t="n">
        <v>0</v>
      </c>
      <c r="F64" s="29" t="n">
        <v>1</v>
      </c>
      <c r="G64" s="29" t="n">
        <v>0</v>
      </c>
      <c r="H64" s="29" t="n">
        <v>0</v>
      </c>
    </row>
    <row r="65" customFormat="false" ht="15" hidden="false" customHeight="false" outlineLevel="0" collapsed="false">
      <c r="A65" s="14" t="s">
        <v>258</v>
      </c>
      <c r="B65" s="29" t="n">
        <f aca="false">SUM(B64:H64)</f>
        <v>1</v>
      </c>
    </row>
    <row r="66" customFormat="false" ht="15" hidden="false" customHeight="false" outlineLevel="0" collapsed="false">
      <c r="A66" s="30" t="s">
        <v>259</v>
      </c>
    </row>
    <row r="67" customFormat="false" ht="15" hidden="false" customHeight="false" outlineLevel="0" collapsed="false">
      <c r="B67" s="31" t="n">
        <f aca="false">B64*B64</f>
        <v>0</v>
      </c>
      <c r="C67" s="31" t="n">
        <f aca="false">B64*C64</f>
        <v>0</v>
      </c>
      <c r="D67" s="31" t="n">
        <f aca="false">B64*D64</f>
        <v>0</v>
      </c>
      <c r="E67" s="31" t="n">
        <f aca="false">B64*E64</f>
        <v>0</v>
      </c>
      <c r="F67" s="31" t="n">
        <f aca="false">B64*F64</f>
        <v>0</v>
      </c>
      <c r="G67" s="31" t="n">
        <f aca="false">B64*G64</f>
        <v>0</v>
      </c>
      <c r="H67" s="31" t="n">
        <f aca="false">B64*H64</f>
        <v>0</v>
      </c>
    </row>
    <row r="68" customFormat="false" ht="15" hidden="false" customHeight="false" outlineLevel="0" collapsed="false">
      <c r="B68" s="31" t="n">
        <f aca="false">C64*B64</f>
        <v>0</v>
      </c>
      <c r="C68" s="31" t="n">
        <f aca="false">C64*C64</f>
        <v>0</v>
      </c>
      <c r="D68" s="31" t="n">
        <f aca="false">C64*D64</f>
        <v>0</v>
      </c>
      <c r="E68" s="31" t="n">
        <f aca="false">C64*E64</f>
        <v>0</v>
      </c>
      <c r="F68" s="31" t="n">
        <f aca="false">C64*F64</f>
        <v>0</v>
      </c>
      <c r="G68" s="31" t="n">
        <f aca="false">C64*G64</f>
        <v>0</v>
      </c>
      <c r="H68" s="31" t="n">
        <f aca="false">C64*H64</f>
        <v>0</v>
      </c>
    </row>
    <row r="69" customFormat="false" ht="15" hidden="false" customHeight="false" outlineLevel="0" collapsed="false">
      <c r="B69" s="31" t="n">
        <f aca="false">D64*B64</f>
        <v>0</v>
      </c>
      <c r="C69" s="31" t="n">
        <f aca="false">D64*C64</f>
        <v>0</v>
      </c>
      <c r="D69" s="31" t="n">
        <f aca="false">D64*D64</f>
        <v>0</v>
      </c>
      <c r="E69" s="31" t="n">
        <f aca="false">D64*E64</f>
        <v>0</v>
      </c>
      <c r="F69" s="31" t="n">
        <f aca="false">D64*F64</f>
        <v>0</v>
      </c>
      <c r="G69" s="31" t="n">
        <f aca="false">D64*G64</f>
        <v>0</v>
      </c>
      <c r="H69" s="31" t="n">
        <f aca="false">D64*H64</f>
        <v>0</v>
      </c>
    </row>
    <row r="70" customFormat="false" ht="15" hidden="false" customHeight="false" outlineLevel="0" collapsed="false">
      <c r="B70" s="31" t="n">
        <f aca="false">E64*B64</f>
        <v>0</v>
      </c>
      <c r="C70" s="31" t="n">
        <f aca="false">E64*C64</f>
        <v>0</v>
      </c>
      <c r="D70" s="31" t="n">
        <f aca="false">E64*D64</f>
        <v>0</v>
      </c>
      <c r="E70" s="31" t="n">
        <f aca="false">E64*E64</f>
        <v>0</v>
      </c>
      <c r="F70" s="31" t="n">
        <f aca="false">E64*F64</f>
        <v>0</v>
      </c>
      <c r="G70" s="31" t="n">
        <f aca="false">E64*G64</f>
        <v>0</v>
      </c>
      <c r="H70" s="31" t="n">
        <f aca="false">E64*H64</f>
        <v>0</v>
      </c>
    </row>
    <row r="71" customFormat="false" ht="15" hidden="false" customHeight="false" outlineLevel="0" collapsed="false">
      <c r="B71" s="31" t="n">
        <f aca="false">F64*B64</f>
        <v>0</v>
      </c>
      <c r="C71" s="31" t="n">
        <f aca="false">F64*C64</f>
        <v>0</v>
      </c>
      <c r="D71" s="31" t="n">
        <f aca="false">F64*D64</f>
        <v>0</v>
      </c>
      <c r="E71" s="31" t="n">
        <f aca="false">F64*E64</f>
        <v>0</v>
      </c>
      <c r="F71" s="31" t="n">
        <f aca="false">F64*F64</f>
        <v>1</v>
      </c>
      <c r="G71" s="31" t="n">
        <f aca="false">F64*G64</f>
        <v>0</v>
      </c>
      <c r="H71" s="31" t="n">
        <f aca="false">F64*H64</f>
        <v>0</v>
      </c>
    </row>
    <row r="72" customFormat="false" ht="15" hidden="false" customHeight="false" outlineLevel="0" collapsed="false">
      <c r="B72" s="31" t="n">
        <f aca="false">G64*B64</f>
        <v>0</v>
      </c>
      <c r="C72" s="31" t="n">
        <f aca="false">G64*C64</f>
        <v>0</v>
      </c>
      <c r="D72" s="31" t="n">
        <f aca="false">G64*D64</f>
        <v>0</v>
      </c>
      <c r="E72" s="31" t="n">
        <f aca="false">G64*E64</f>
        <v>0</v>
      </c>
      <c r="F72" s="31" t="n">
        <f aca="false">G64*F64</f>
        <v>0</v>
      </c>
      <c r="G72" s="31" t="n">
        <f aca="false">G64*G64</f>
        <v>0</v>
      </c>
      <c r="H72" s="31" t="n">
        <f aca="false">G64*H64</f>
        <v>0</v>
      </c>
    </row>
    <row r="73" customFormat="false" ht="15" hidden="false" customHeight="false" outlineLevel="0" collapsed="false">
      <c r="B73" s="31" t="n">
        <f aca="false">H64*B64</f>
        <v>0</v>
      </c>
      <c r="C73" s="31" t="n">
        <f aca="false">H64*C64</f>
        <v>0</v>
      </c>
      <c r="D73" s="31" t="n">
        <f aca="false">H64*D64</f>
        <v>0</v>
      </c>
      <c r="E73" s="31" t="n">
        <f aca="false">H64*E64</f>
        <v>0</v>
      </c>
      <c r="F73" s="31" t="n">
        <f aca="false">H64*F64</f>
        <v>0</v>
      </c>
      <c r="G73" s="31" t="n">
        <f aca="false">H64*G64</f>
        <v>0</v>
      </c>
      <c r="H73" s="31" t="n">
        <f aca="false">H64*H64</f>
        <v>0</v>
      </c>
    </row>
    <row r="74" customFormat="false" ht="15" hidden="false" customHeight="false" outlineLevel="0" collapsed="false">
      <c r="A74" s="14" t="s">
        <v>260</v>
      </c>
      <c r="B74" s="10" t="n">
        <f aca="false">SUMPRODUCT(B64:H64,B27:H27)</f>
        <v>0.140661835803193</v>
      </c>
    </row>
    <row r="75" customFormat="false" ht="15" hidden="false" customHeight="false" outlineLevel="0" collapsed="false">
      <c r="A75" s="14" t="s">
        <v>261</v>
      </c>
      <c r="B75" s="32" t="n">
        <f aca="false">SUMPRODUCT(B67:H73,B19:H25)</f>
        <v>0.021024994746453</v>
      </c>
    </row>
    <row r="76" customFormat="false" ht="15" hidden="false" customHeight="false" outlineLevel="0" collapsed="false">
      <c r="A76" s="14" t="s">
        <v>262</v>
      </c>
      <c r="B76" s="10" t="n">
        <f aca="false">SQRT(B75)</f>
        <v>0.144999981884319</v>
      </c>
    </row>
    <row r="77" customFormat="false" ht="15" hidden="false" customHeight="false" outlineLevel="0" collapsed="false">
      <c r="A77" s="14" t="s">
        <v>263</v>
      </c>
      <c r="B77" s="33" t="n">
        <f aca="false">(B74-'3. Assumptions'!B27)/B76</f>
        <v>0.604564460381308</v>
      </c>
    </row>
    <row r="78" customFormat="false" ht="15" hidden="false" customHeight="false" outlineLevel="0" collapsed="false">
      <c r="A78" s="9" t="s">
        <v>264</v>
      </c>
      <c r="B78" s="34" t="n">
        <f aca="false">B74-0.5*'4. Risk &amp; Portfolio Rules'!C5*B75</f>
        <v>0.1038680949969</v>
      </c>
    </row>
    <row r="80" customFormat="false" ht="15" hidden="false" customHeight="false" outlineLevel="0" collapsed="false">
      <c r="A80" s="11" t="s">
        <v>267</v>
      </c>
    </row>
    <row r="81" customFormat="false" ht="15" hidden="false" customHeight="false" outlineLevel="0" collapsed="false">
      <c r="A81" s="14" t="s">
        <v>268</v>
      </c>
    </row>
    <row r="82" customFormat="false" ht="15" hidden="false" customHeight="false" outlineLevel="0" collapsed="false">
      <c r="A82" s="35" t="str">
        <f aca="false">IF(AND(B44&gt;=B61,B44&gt;=B78),"Solved weights score highest (as expected for an optimum)","Check inputs - see note")</f>
        <v>Solved weights score highest (as expected for an optimum)</v>
      </c>
    </row>
    <row r="84" customFormat="false" ht="16.15" hidden="false" customHeight="false" outlineLevel="0" collapsed="false">
      <c r="A84" s="13" t="s">
        <v>269</v>
      </c>
    </row>
    <row r="85" customFormat="false" ht="79.5" hidden="false" customHeight="true" outlineLevel="0" collapsed="false">
      <c r="A85" s="36" t="s">
        <v>270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8" min="2" style="0" width="15"/>
  </cols>
  <sheetData>
    <row r="1" customFormat="false" ht="19.7" hidden="false" customHeight="false" outlineLevel="0" collapsed="false">
      <c r="A1" s="1" t="s">
        <v>271</v>
      </c>
    </row>
    <row r="2" customFormat="false" ht="30" hidden="false" customHeight="true" outlineLevel="0" collapsed="false">
      <c r="A2" s="6" t="s">
        <v>272</v>
      </c>
    </row>
    <row r="4" customFormat="false" ht="16.15" hidden="false" customHeight="false" outlineLevel="0" collapsed="false">
      <c r="A4" s="13" t="s">
        <v>273</v>
      </c>
    </row>
    <row r="5" customFormat="false" ht="28.35" hidden="false" customHeight="false" outlineLevel="0" collapsed="false">
      <c r="A5" s="7" t="s">
        <v>219</v>
      </c>
      <c r="B5" s="7" t="s">
        <v>18</v>
      </c>
      <c r="C5" s="7" t="s">
        <v>19</v>
      </c>
      <c r="D5" s="7" t="s">
        <v>20</v>
      </c>
      <c r="E5" s="7" t="s">
        <v>21</v>
      </c>
      <c r="F5" s="7" t="s">
        <v>22</v>
      </c>
      <c r="G5" s="7" t="s">
        <v>23</v>
      </c>
      <c r="H5" s="7" t="s">
        <v>24</v>
      </c>
    </row>
    <row r="6" customFormat="false" ht="15" hidden="false" customHeight="false" outlineLevel="0" collapsed="false">
      <c r="A6" s="9" t="s">
        <v>220</v>
      </c>
      <c r="B6" s="37" t="n">
        <v>0</v>
      </c>
      <c r="C6" s="37" t="n">
        <v>0.641374</v>
      </c>
      <c r="D6" s="37" t="n">
        <v>0.008626</v>
      </c>
      <c r="E6" s="37" t="n">
        <v>0.2</v>
      </c>
      <c r="F6" s="37" t="n">
        <v>0.117774</v>
      </c>
      <c r="G6" s="37" t="n">
        <v>0.032226</v>
      </c>
      <c r="H6" s="37" t="n">
        <v>0</v>
      </c>
    </row>
    <row r="7" customFormat="false" ht="15" hidden="false" customHeight="false" outlineLevel="0" collapsed="false">
      <c r="A7" s="9" t="s">
        <v>221</v>
      </c>
      <c r="B7" s="37" t="n">
        <v>0</v>
      </c>
      <c r="C7" s="37" t="n">
        <v>0.540452</v>
      </c>
      <c r="D7" s="37" t="n">
        <v>0.109548</v>
      </c>
      <c r="E7" s="37" t="n">
        <v>0.2</v>
      </c>
      <c r="F7" s="37" t="n">
        <v>0.077818</v>
      </c>
      <c r="G7" s="37" t="n">
        <v>0.072182</v>
      </c>
      <c r="H7" s="37" t="n">
        <v>0</v>
      </c>
    </row>
    <row r="8" customFormat="false" ht="15" hidden="false" customHeight="false" outlineLevel="0" collapsed="false">
      <c r="A8" s="9" t="s">
        <v>222</v>
      </c>
      <c r="B8" s="37" t="n">
        <v>0</v>
      </c>
      <c r="C8" s="37" t="n">
        <v>0.45</v>
      </c>
      <c r="D8" s="37" t="n">
        <v>0.2</v>
      </c>
      <c r="E8" s="37" t="n">
        <v>0.2</v>
      </c>
      <c r="F8" s="37" t="n">
        <v>0</v>
      </c>
      <c r="G8" s="37" t="n">
        <v>0.15</v>
      </c>
      <c r="H8" s="37" t="n">
        <v>0</v>
      </c>
    </row>
    <row r="10" customFormat="false" ht="16.15" hidden="false" customHeight="false" outlineLevel="0" collapsed="false">
      <c r="A10" s="13" t="s">
        <v>274</v>
      </c>
    </row>
    <row r="11" customFormat="false" ht="28.35" hidden="false" customHeight="false" outlineLevel="0" collapsed="false">
      <c r="A11" s="7" t="s">
        <v>219</v>
      </c>
      <c r="B11" s="7" t="s">
        <v>18</v>
      </c>
      <c r="C11" s="7" t="s">
        <v>19</v>
      </c>
      <c r="D11" s="7" t="s">
        <v>20</v>
      </c>
      <c r="E11" s="7" t="s">
        <v>21</v>
      </c>
      <c r="F11" s="7" t="s">
        <v>22</v>
      </c>
      <c r="G11" s="7" t="s">
        <v>23</v>
      </c>
      <c r="H11" s="7" t="s">
        <v>24</v>
      </c>
    </row>
    <row r="12" customFormat="false" ht="15" hidden="false" customHeight="false" outlineLevel="0" collapsed="false">
      <c r="A12" s="9" t="s">
        <v>220</v>
      </c>
      <c r="B12" s="37" t="n">
        <v>0</v>
      </c>
      <c r="C12" s="37" t="n">
        <v>0.425605</v>
      </c>
      <c r="D12" s="37" t="n">
        <v>0.001647</v>
      </c>
      <c r="E12" s="37" t="n">
        <v>0.2</v>
      </c>
      <c r="F12" s="37" t="n">
        <v>0.315579</v>
      </c>
      <c r="G12" s="37" t="n">
        <v>0.057169</v>
      </c>
      <c r="H12" s="37" t="n">
        <v>0</v>
      </c>
    </row>
    <row r="13" customFormat="false" ht="15" hidden="false" customHeight="false" outlineLevel="0" collapsed="false">
      <c r="A13" s="9" t="s">
        <v>221</v>
      </c>
      <c r="B13" s="37" t="n">
        <v>0</v>
      </c>
      <c r="C13" s="37" t="n">
        <v>0.154178</v>
      </c>
      <c r="D13" s="37" t="n">
        <v>0.095822</v>
      </c>
      <c r="E13" s="37" t="n">
        <v>0.2</v>
      </c>
      <c r="F13" s="37" t="n">
        <v>0.35</v>
      </c>
      <c r="G13" s="37" t="n">
        <v>0.2</v>
      </c>
      <c r="H13" s="37" t="n">
        <v>0</v>
      </c>
    </row>
    <row r="14" customFormat="false" ht="15" hidden="false" customHeight="false" outlineLevel="0" collapsed="false">
      <c r="A14" s="9" t="s">
        <v>222</v>
      </c>
      <c r="B14" s="37" t="n">
        <v>0</v>
      </c>
      <c r="C14" s="37" t="n">
        <v>0.05</v>
      </c>
      <c r="D14" s="37" t="n">
        <v>0.2</v>
      </c>
      <c r="E14" s="37" t="n">
        <v>0.2</v>
      </c>
      <c r="F14" s="37" t="n">
        <v>0.300693</v>
      </c>
      <c r="G14" s="37" t="n">
        <v>0.249307</v>
      </c>
      <c r="H14" s="37" t="n">
        <v>0</v>
      </c>
    </row>
    <row r="16" customFormat="false" ht="16.15" hidden="false" customHeight="false" outlineLevel="0" collapsed="false">
      <c r="A16" s="13" t="s">
        <v>275</v>
      </c>
    </row>
    <row r="17" customFormat="false" ht="28.35" hidden="false" customHeight="false" outlineLevel="0" collapsed="false">
      <c r="A17" s="7" t="s">
        <v>219</v>
      </c>
      <c r="B17" s="7" t="s">
        <v>18</v>
      </c>
      <c r="C17" s="7" t="s">
        <v>19</v>
      </c>
      <c r="D17" s="7" t="s">
        <v>20</v>
      </c>
      <c r="E17" s="7" t="s">
        <v>21</v>
      </c>
      <c r="F17" s="7" t="s">
        <v>22</v>
      </c>
      <c r="G17" s="7" t="s">
        <v>23</v>
      </c>
      <c r="H17" s="7" t="s">
        <v>24</v>
      </c>
    </row>
    <row r="18" customFormat="false" ht="15" hidden="false" customHeight="false" outlineLevel="0" collapsed="false">
      <c r="A18" s="9" t="s">
        <v>220</v>
      </c>
      <c r="B18" s="37" t="n">
        <v>0</v>
      </c>
      <c r="C18" s="37" t="n">
        <v>0.425605</v>
      </c>
      <c r="D18" s="37" t="n">
        <v>0.001647</v>
      </c>
      <c r="E18" s="37" t="n">
        <v>0.2</v>
      </c>
      <c r="F18" s="37" t="n">
        <v>0.315579</v>
      </c>
      <c r="G18" s="37" t="n">
        <v>0.057169</v>
      </c>
      <c r="H18" s="37" t="n">
        <v>0</v>
      </c>
    </row>
    <row r="19" customFormat="false" ht="15" hidden="false" customHeight="false" outlineLevel="0" collapsed="false">
      <c r="A19" s="9" t="s">
        <v>221</v>
      </c>
      <c r="B19" s="37" t="n">
        <v>0</v>
      </c>
      <c r="C19" s="37" t="n">
        <v>0.010784</v>
      </c>
      <c r="D19" s="37" t="n">
        <v>0.089216</v>
      </c>
      <c r="E19" s="37" t="n">
        <v>0.2</v>
      </c>
      <c r="F19" s="37" t="n">
        <v>0.35</v>
      </c>
      <c r="G19" s="37" t="n">
        <v>0.35</v>
      </c>
      <c r="H19" s="37" t="n">
        <v>0</v>
      </c>
    </row>
    <row r="20" customFormat="false" ht="15" hidden="false" customHeight="false" outlineLevel="0" collapsed="false">
      <c r="A20" s="9" t="s">
        <v>222</v>
      </c>
      <c r="B20" s="37" t="n">
        <v>0</v>
      </c>
      <c r="C20" s="37" t="n">
        <v>0</v>
      </c>
      <c r="D20" s="37" t="n">
        <v>0</v>
      </c>
      <c r="E20" s="37" t="n">
        <v>0.2</v>
      </c>
      <c r="F20" s="37" t="n">
        <v>0.35</v>
      </c>
      <c r="G20" s="37" t="n">
        <v>0.35</v>
      </c>
      <c r="H20" s="37" t="n">
        <v>0.1</v>
      </c>
    </row>
    <row r="23" customFormat="false" ht="16.15" hidden="false" customHeight="false" outlineLevel="0" collapsed="false">
      <c r="A23" s="13" t="s">
        <v>276</v>
      </c>
    </row>
    <row r="24" customFormat="false" ht="39.75" hidden="false" customHeight="true" outlineLevel="0" collapsed="false">
      <c r="A24" s="6" t="s">
        <v>277</v>
      </c>
    </row>
    <row r="26" customFormat="false" ht="15" hidden="false" customHeight="false" outlineLevel="0" collapsed="false">
      <c r="A26" s="7" t="s">
        <v>278</v>
      </c>
      <c r="B26" s="7" t="s">
        <v>279</v>
      </c>
      <c r="C26" s="7" t="s">
        <v>280</v>
      </c>
      <c r="D26" s="7" t="s">
        <v>281</v>
      </c>
      <c r="E26" s="7" t="s">
        <v>282</v>
      </c>
    </row>
    <row r="27" customFormat="false" ht="15" hidden="false" customHeight="false" outlineLevel="0" collapsed="false">
      <c r="A27" s="14" t="s">
        <v>283</v>
      </c>
      <c r="B27" s="20" t="n">
        <v>100000</v>
      </c>
      <c r="C27" s="20" t="n">
        <v>0</v>
      </c>
      <c r="D27" s="38" t="n">
        <f aca="false">B27+C27</f>
        <v>100000</v>
      </c>
      <c r="E27" s="29" t="n">
        <f aca="false">D27/SUM($D$27:$D$31)</f>
        <v>0.298507462686567</v>
      </c>
    </row>
    <row r="28" customFormat="false" ht="15" hidden="false" customHeight="false" outlineLevel="0" collapsed="false">
      <c r="A28" s="14" t="s">
        <v>284</v>
      </c>
      <c r="B28" s="20" t="n">
        <v>50000</v>
      </c>
      <c r="C28" s="20" t="n">
        <v>0</v>
      </c>
      <c r="D28" s="38" t="n">
        <f aca="false">B28+C28</f>
        <v>50000</v>
      </c>
      <c r="E28" s="29" t="n">
        <f aca="false">D28/SUM($D$27:$D$31)</f>
        <v>0.149253731343284</v>
      </c>
    </row>
    <row r="29" customFormat="false" ht="15" hidden="false" customHeight="false" outlineLevel="0" collapsed="false">
      <c r="A29" s="14" t="s">
        <v>20</v>
      </c>
      <c r="B29" s="20" t="n">
        <v>20000</v>
      </c>
      <c r="C29" s="20" t="n">
        <v>0</v>
      </c>
      <c r="D29" s="38" t="n">
        <f aca="false">B29+C29</f>
        <v>20000</v>
      </c>
      <c r="E29" s="29" t="n">
        <f aca="false">D29/SUM($D$27:$D$31)</f>
        <v>0.0597014925373134</v>
      </c>
    </row>
    <row r="30" customFormat="false" ht="15" hidden="false" customHeight="false" outlineLevel="0" collapsed="false">
      <c r="A30" s="14" t="s">
        <v>21</v>
      </c>
      <c r="B30" s="20" t="n">
        <v>0</v>
      </c>
      <c r="C30" s="20" t="n">
        <v>15000</v>
      </c>
      <c r="D30" s="38" t="n">
        <f aca="false">B30+C30</f>
        <v>15000</v>
      </c>
      <c r="E30" s="29" t="n">
        <f aca="false">D30/SUM($D$27:$D$31)</f>
        <v>0.0447761194029851</v>
      </c>
    </row>
    <row r="31" customFormat="false" ht="15" hidden="false" customHeight="false" outlineLevel="0" collapsed="false">
      <c r="A31" s="14" t="s">
        <v>285</v>
      </c>
      <c r="B31" s="20" t="n">
        <v>150000</v>
      </c>
      <c r="C31" s="20" t="n">
        <v>0</v>
      </c>
      <c r="D31" s="38" t="n">
        <f aca="false">B31+C31</f>
        <v>150000</v>
      </c>
      <c r="E31" s="29" t="n">
        <f aca="false">D31/SUM($D$27:$D$31)</f>
        <v>0.447761194029851</v>
      </c>
    </row>
    <row r="32" customFormat="false" ht="15" hidden="false" customHeight="false" outlineLevel="0" collapsed="false">
      <c r="A32" s="9" t="s">
        <v>286</v>
      </c>
      <c r="B32" s="39" t="n">
        <f aca="false">SUM(B27:B31)</f>
        <v>320000</v>
      </c>
      <c r="C32" s="39" t="n">
        <f aca="false">SUM(C27:C31)</f>
        <v>15000</v>
      </c>
      <c r="D32" s="39" t="n">
        <f aca="false">SUM(D27:D31)</f>
        <v>335000</v>
      </c>
    </row>
    <row r="34" customFormat="false" ht="64.15" hidden="false" customHeight="false" outlineLevel="0" collapsed="false">
      <c r="A34" s="6"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20"/>
    <col collapsed="false" customWidth="true" hidden="false" outlineLevel="0" max="4" min="4" style="0" width="16"/>
    <col collapsed="false" customWidth="true" hidden="false" outlineLevel="0" max="6" min="5" style="0" width="18"/>
  </cols>
  <sheetData>
    <row r="1" customFormat="false" ht="19.5" hidden="false" customHeight="true" outlineLevel="0" collapsed="false">
      <c r="A1" s="1" t="s">
        <v>288</v>
      </c>
    </row>
    <row r="3" customFormat="false" ht="16.15" hidden="false" customHeight="false" outlineLevel="0" collapsed="false">
      <c r="A3" s="13" t="s">
        <v>289</v>
      </c>
    </row>
    <row r="4" customFormat="false" ht="15" hidden="false" customHeight="false" outlineLevel="0" collapsed="false">
      <c r="A4" s="14" t="s">
        <v>290</v>
      </c>
      <c r="B4" s="40" t="n">
        <v>28</v>
      </c>
    </row>
    <row r="5" customFormat="false" ht="15" hidden="false" customHeight="false" outlineLevel="0" collapsed="false">
      <c r="A5" s="14" t="s">
        <v>291</v>
      </c>
      <c r="B5" s="40" t="n">
        <v>1</v>
      </c>
    </row>
    <row r="6" customFormat="false" ht="15" hidden="false" customHeight="false" outlineLevel="0" collapsed="false">
      <c r="A6" s="14" t="s">
        <v>292</v>
      </c>
      <c r="B6" s="40" t="s">
        <v>293</v>
      </c>
    </row>
    <row r="7" customFormat="false" ht="15" hidden="false" customHeight="false" outlineLevel="0" collapsed="false">
      <c r="A7" s="14" t="s">
        <v>294</v>
      </c>
      <c r="B7" s="40" t="n">
        <v>60</v>
      </c>
    </row>
    <row r="8" customFormat="false" ht="15" hidden="false" customHeight="false" outlineLevel="0" collapsed="false">
      <c r="A8" s="14" t="s">
        <v>212</v>
      </c>
      <c r="B8" s="40" t="s">
        <v>214</v>
      </c>
    </row>
    <row r="9" customFormat="false" ht="15" hidden="false" customHeight="false" outlineLevel="0" collapsed="false">
      <c r="A9" s="14" t="s">
        <v>295</v>
      </c>
      <c r="B9" s="40" t="s">
        <v>183</v>
      </c>
    </row>
    <row r="10" customFormat="false" ht="15" hidden="false" customHeight="false" outlineLevel="0" collapsed="false">
      <c r="A10" s="14" t="s">
        <v>204</v>
      </c>
      <c r="B10" s="40" t="s">
        <v>208</v>
      </c>
    </row>
    <row r="11" customFormat="false" ht="15" hidden="false" customHeight="false" outlineLevel="0" collapsed="false">
      <c r="A11" s="14" t="s">
        <v>296</v>
      </c>
      <c r="B11" s="40" t="s">
        <v>297</v>
      </c>
    </row>
    <row r="12" customFormat="false" ht="15" hidden="false" customHeight="false" outlineLevel="0" collapsed="false">
      <c r="A12" s="14" t="s">
        <v>197</v>
      </c>
      <c r="B12" s="40" t="s">
        <v>199</v>
      </c>
    </row>
    <row r="13" customFormat="false" ht="15" hidden="false" customHeight="false" outlineLevel="0" collapsed="false">
      <c r="A13" s="14" t="s">
        <v>298</v>
      </c>
      <c r="B13" s="20" t="n">
        <v>5000</v>
      </c>
    </row>
    <row r="14" customFormat="false" ht="15" hidden="false" customHeight="false" outlineLevel="0" collapsed="false">
      <c r="A14" s="14" t="s">
        <v>299</v>
      </c>
      <c r="B14" s="40" t="s">
        <v>300</v>
      </c>
    </row>
    <row r="15" customFormat="false" ht="15" hidden="false" customHeight="false" outlineLevel="0" collapsed="false">
      <c r="A15" s="14" t="s">
        <v>301</v>
      </c>
      <c r="B15" s="20" t="n">
        <v>100000</v>
      </c>
    </row>
    <row r="16" customFormat="false" ht="15" hidden="false" customHeight="false" outlineLevel="0" collapsed="false">
      <c r="A16" s="14" t="s">
        <v>302</v>
      </c>
      <c r="B16" s="20" t="n">
        <v>50000</v>
      </c>
    </row>
    <row r="17" customFormat="false" ht="15" hidden="false" customHeight="false" outlineLevel="0" collapsed="false">
      <c r="A17" s="14" t="s">
        <v>303</v>
      </c>
      <c r="B17" s="20" t="n">
        <v>20000</v>
      </c>
    </row>
    <row r="18" customFormat="false" ht="15" hidden="false" customHeight="false" outlineLevel="0" collapsed="false">
      <c r="A18" s="14" t="s">
        <v>304</v>
      </c>
      <c r="B18" s="20" t="n">
        <v>0</v>
      </c>
    </row>
    <row r="19" customFormat="false" ht="15" hidden="false" customHeight="false" outlineLevel="0" collapsed="false">
      <c r="A19" s="14" t="s">
        <v>305</v>
      </c>
      <c r="B19" s="20" t="n">
        <v>150000</v>
      </c>
    </row>
    <row r="20" customFormat="false" ht="15" hidden="false" customHeight="false" outlineLevel="0" collapsed="false">
      <c r="A20" s="14" t="s">
        <v>306</v>
      </c>
      <c r="B20" s="20" t="n">
        <v>30000</v>
      </c>
    </row>
    <row r="21" customFormat="false" ht="15" hidden="false" customHeight="false" outlineLevel="0" collapsed="false">
      <c r="A21" s="14" t="s">
        <v>307</v>
      </c>
      <c r="B21" s="40" t="s">
        <v>308</v>
      </c>
    </row>
    <row r="22" customFormat="false" ht="15" hidden="false" customHeight="false" outlineLevel="0" collapsed="false">
      <c r="A22" s="14" t="s">
        <v>309</v>
      </c>
      <c r="B22" s="20" t="n">
        <v>15000</v>
      </c>
    </row>
    <row r="23" customFormat="false" ht="15" hidden="false" customHeight="false" outlineLevel="0" collapsed="false">
      <c r="A23" s="14" t="s">
        <v>310</v>
      </c>
      <c r="B23" s="40" t="s">
        <v>221</v>
      </c>
    </row>
    <row r="24" customFormat="false" ht="15" hidden="false" customHeight="false" outlineLevel="0" collapsed="false">
      <c r="A24" s="14" t="s">
        <v>311</v>
      </c>
      <c r="B24" s="40" t="n">
        <v>6</v>
      </c>
    </row>
    <row r="26" customFormat="false" ht="16.15" hidden="false" customHeight="false" outlineLevel="0" collapsed="false">
      <c r="A26" s="13" t="s">
        <v>312</v>
      </c>
    </row>
    <row r="27" customFormat="false" ht="15" hidden="false" customHeight="false" outlineLevel="0" collapsed="false">
      <c r="A27" s="14" t="s">
        <v>313</v>
      </c>
      <c r="B27" s="38" t="n">
        <f aca="false">INDEX('3. Assumptions'!B34:B43,MATCH(B9,'3. Assumptions'!A34:A43,0))</f>
        <v>150000</v>
      </c>
    </row>
    <row r="28" customFormat="false" ht="15" hidden="false" customHeight="false" outlineLevel="0" collapsed="false">
      <c r="A28" s="14" t="s">
        <v>314</v>
      </c>
      <c r="B28" s="41" t="n">
        <f aca="false">INDEX('3. Assumptions'!B47:B56,MATCH(B9,'3. Assumptions'!A34:A43,0))</f>
        <v>0.65</v>
      </c>
    </row>
    <row r="29" customFormat="false" ht="15" hidden="false" customHeight="false" outlineLevel="0" collapsed="false">
      <c r="A29" s="14" t="s">
        <v>315</v>
      </c>
      <c r="B29" s="41" t="n">
        <f aca="false">B5*'3. Assumptions'!B59</f>
        <v>0.04</v>
      </c>
    </row>
    <row r="30" customFormat="false" ht="15" hidden="false" customHeight="false" outlineLevel="0" collapsed="false">
      <c r="A30" s="14" t="s">
        <v>316</v>
      </c>
      <c r="B30" s="42" t="n">
        <f aca="false">INDEX('3. Assumptions'!B64:B67,MATCH(B12,'3. Assumptions'!A64:A67,0))</f>
        <v>0.18</v>
      </c>
    </row>
    <row r="31" customFormat="false" ht="15" hidden="false" customHeight="false" outlineLevel="0" collapsed="false">
      <c r="A31" s="14" t="s">
        <v>317</v>
      </c>
      <c r="B31" s="42" t="n">
        <f aca="false">INDEX('3. Assumptions'!B71:B75,MATCH(B10,'3. Assumptions'!A71:A75,0))</f>
        <v>0.03</v>
      </c>
    </row>
    <row r="32" customFormat="false" ht="15" hidden="false" customHeight="false" outlineLevel="0" collapsed="false">
      <c r="A32" s="14" t="s">
        <v>318</v>
      </c>
      <c r="B32" s="41" t="n">
        <f aca="false">B28+B29+B30+B31</f>
        <v>0.9</v>
      </c>
    </row>
    <row r="33" customFormat="false" ht="15" hidden="false" customHeight="false" outlineLevel="0" collapsed="false">
      <c r="A33" s="14" t="s">
        <v>211</v>
      </c>
      <c r="B33" s="33" t="n">
        <f aca="false">INDEX('3. Assumptions'!B79:B81,MATCH(B8,'3. Assumptions'!A79:A81,0))</f>
        <v>1.2</v>
      </c>
    </row>
    <row r="34" customFormat="false" ht="15" hidden="false" customHeight="false" outlineLevel="0" collapsed="false">
      <c r="A34" s="9" t="s">
        <v>319</v>
      </c>
      <c r="B34" s="43" t="n">
        <f aca="false">MAX('3. Assumptions'!B60,MIN('3. Assumptions'!C60,B32*B33))</f>
        <v>0.95</v>
      </c>
    </row>
    <row r="35" customFormat="false" ht="15" hidden="false" customHeight="false" outlineLevel="0" collapsed="false">
      <c r="A35" s="9" t="s">
        <v>320</v>
      </c>
      <c r="B35" s="39" t="n">
        <f aca="false">B27*B34</f>
        <v>142500</v>
      </c>
    </row>
    <row r="37" customFormat="false" ht="16.15" hidden="false" customHeight="false" outlineLevel="0" collapsed="false">
      <c r="A37" s="13" t="s">
        <v>321</v>
      </c>
    </row>
    <row r="38" customFormat="false" ht="28.35" hidden="false" customHeight="false" outlineLevel="0" collapsed="false">
      <c r="A38" s="7" t="s">
        <v>322</v>
      </c>
      <c r="B38" s="7" t="s">
        <v>162</v>
      </c>
      <c r="C38" s="7" t="s">
        <v>323</v>
      </c>
      <c r="D38" s="7" t="s">
        <v>324</v>
      </c>
      <c r="E38" s="7" t="s">
        <v>325</v>
      </c>
      <c r="F38" s="7" t="s">
        <v>326</v>
      </c>
    </row>
    <row r="39" customFormat="false" ht="15" hidden="false" customHeight="false" outlineLevel="0" collapsed="false">
      <c r="A39" s="14" t="s">
        <v>327</v>
      </c>
      <c r="B39" s="40" t="s">
        <v>164</v>
      </c>
      <c r="C39" s="20" t="n">
        <v>150000</v>
      </c>
      <c r="D39" s="23" t="n">
        <v>2</v>
      </c>
      <c r="E39" s="41" t="n">
        <f aca="false">INDEX('3. Assumptions'!B16:B21,MATCH(B39,'3. Assumptions'!A16:A21,0))</f>
        <v>0.06</v>
      </c>
      <c r="F39" s="38" t="n">
        <f aca="false">C39*(1+E39)^D39</f>
        <v>168540</v>
      </c>
    </row>
    <row r="40" customFormat="false" ht="15" hidden="false" customHeight="false" outlineLevel="0" collapsed="false">
      <c r="A40" s="14" t="s">
        <v>328</v>
      </c>
      <c r="B40" s="40" t="s">
        <v>167</v>
      </c>
      <c r="C40" s="20" t="n">
        <v>2000000</v>
      </c>
      <c r="D40" s="23" t="n">
        <v>15</v>
      </c>
      <c r="E40" s="41" t="n">
        <f aca="false">INDEX('3. Assumptions'!B16:B21,MATCH(B40,'3. Assumptions'!A16:A21,0))</f>
        <v>0.08</v>
      </c>
      <c r="F40" s="38" t="n">
        <f aca="false">C40*(1+E40)^D40</f>
        <v>6344338.22839654</v>
      </c>
    </row>
    <row r="41" customFormat="false" ht="15" hidden="false" customHeight="false" outlineLevel="0" collapsed="false">
      <c r="A41" s="14" t="s">
        <v>329</v>
      </c>
      <c r="B41" s="40" t="s">
        <v>169</v>
      </c>
      <c r="C41" s="20" t="n">
        <v>42750000</v>
      </c>
      <c r="D41" s="23" t="n">
        <v>32</v>
      </c>
      <c r="E41" s="41" t="n">
        <f aca="false">INDEX('3. Assumptions'!B16:B21,MATCH(B41,'3. Assumptions'!A16:A21,0))</f>
        <v>0.05</v>
      </c>
      <c r="F41" s="38" t="n">
        <f aca="false">C41*(1+E41)^D41</f>
        <v>203701247.782804</v>
      </c>
    </row>
    <row r="42" customFormat="false" ht="32.8" hidden="false" customHeight="false" outlineLevel="0" collapsed="false">
      <c r="A42" s="6" t="s">
        <v>330</v>
      </c>
    </row>
    <row r="43" customFormat="false" ht="15" hidden="false" customHeight="false" outlineLevel="0" collapsed="false">
      <c r="A43" s="14" t="s">
        <v>331</v>
      </c>
      <c r="F43" s="38" t="n">
        <f aca="false">B35*12*'3. Assumptions'!B28*(1+'3. Assumptions'!B25)^(B7-B4)</f>
        <v>203701247.782804</v>
      </c>
    </row>
    <row r="45" customFormat="false" ht="15" hidden="false" customHeight="false" outlineLevel="0" collapsed="false">
      <c r="A45" s="30" t="s">
        <v>332</v>
      </c>
    </row>
    <row r="46" customFormat="false" ht="15" hidden="false" customHeight="false" outlineLevel="0" collapsed="false">
      <c r="A46" s="44" t="s">
        <v>333</v>
      </c>
    </row>
    <row r="47" customFormat="false" ht="15" hidden="false" customHeight="false" outlineLevel="0" collapsed="false">
      <c r="A47" s="44" t="s">
        <v>334</v>
      </c>
    </row>
    <row r="48" customFormat="false" ht="15" hidden="false" customHeight="false" outlineLevel="0" collapsed="false">
      <c r="A48" s="44" t="s">
        <v>335</v>
      </c>
    </row>
    <row r="50" customFormat="false" ht="16.15" hidden="false" customHeight="false" outlineLevel="0" collapsed="false">
      <c r="A50" s="13" t="s">
        <v>336</v>
      </c>
    </row>
    <row r="51" customFormat="false" ht="15" hidden="false" customHeight="false" outlineLevel="0" collapsed="false">
      <c r="A51" s="14" t="s">
        <v>337</v>
      </c>
      <c r="B51" s="40" t="n">
        <v>6</v>
      </c>
    </row>
    <row r="52" customFormat="false" ht="15" hidden="false" customHeight="false" outlineLevel="0" collapsed="false">
      <c r="A52" s="14" t="s">
        <v>338</v>
      </c>
      <c r="B52" s="40" t="n">
        <v>6</v>
      </c>
    </row>
    <row r="53" customFormat="false" ht="15" hidden="false" customHeight="false" outlineLevel="0" collapsed="false">
      <c r="A53" s="14" t="s">
        <v>339</v>
      </c>
      <c r="B53" s="14" t="n">
        <f aca="false">0.4*B51+0.6*B52</f>
        <v>6</v>
      </c>
    </row>
    <row r="54" customFormat="false" ht="15" hidden="false" customHeight="false" outlineLevel="0" collapsed="false">
      <c r="A54" s="14" t="s">
        <v>340</v>
      </c>
      <c r="B54" s="40" t="n">
        <v>9</v>
      </c>
    </row>
    <row r="55" customFormat="false" ht="15" hidden="false" customHeight="false" outlineLevel="0" collapsed="false">
      <c r="A55" s="14" t="s">
        <v>341</v>
      </c>
      <c r="B55" s="40" t="n">
        <v>7</v>
      </c>
    </row>
    <row r="56" customFormat="false" ht="15" hidden="false" customHeight="false" outlineLevel="0" collapsed="false">
      <c r="A56" s="14" t="s">
        <v>342</v>
      </c>
      <c r="B56" s="40" t="n">
        <v>10</v>
      </c>
    </row>
    <row r="57" customFormat="false" ht="15" hidden="false" customHeight="false" outlineLevel="0" collapsed="false">
      <c r="A57" s="14" t="s">
        <v>343</v>
      </c>
      <c r="B57" s="40" t="n">
        <v>2.3</v>
      </c>
    </row>
    <row r="58" customFormat="false" ht="15" hidden="false" customHeight="false" outlineLevel="0" collapsed="false">
      <c r="A58" s="14" t="s">
        <v>344</v>
      </c>
      <c r="B58" s="40" t="n">
        <v>7</v>
      </c>
    </row>
    <row r="59" customFormat="false" ht="15" hidden="false" customHeight="false" outlineLevel="0" collapsed="false">
      <c r="A59" s="14" t="s">
        <v>345</v>
      </c>
      <c r="B59" s="9" t="n">
        <f aca="false">AVERAGE(B54:B58)</f>
        <v>7.06</v>
      </c>
    </row>
    <row r="60" customFormat="false" ht="15" hidden="false" customHeight="false" outlineLevel="0" collapsed="false">
      <c r="A60" s="14" t="s">
        <v>346</v>
      </c>
      <c r="B60" s="45" t="n">
        <f aca="false">ROUND(MIN(B53,B59),1)</f>
        <v>6</v>
      </c>
    </row>
    <row r="62" customFormat="false" ht="15" hidden="false" customHeight="false" outlineLevel="0" collapsed="false">
      <c r="A62" s="9" t="s">
        <v>347</v>
      </c>
      <c r="B62" s="45" t="str">
        <f aca="false">IF(B60&lt;4,"Conservative",IF(B60&gt;=7,"Aggressive","Moderate"))</f>
        <v>Moderate</v>
      </c>
    </row>
    <row r="63" customFormat="false" ht="15" hidden="false" customHeight="false" outlineLevel="0" collapsed="false">
      <c r="A63" s="44" t="s">
        <v>348</v>
      </c>
    </row>
    <row r="65" customFormat="false" ht="16.15" hidden="false" customHeight="false" outlineLevel="0" collapsed="false">
      <c r="A65" s="13" t="s">
        <v>349</v>
      </c>
    </row>
    <row r="66" customFormat="false" ht="60" hidden="false" customHeight="true" outlineLevel="0" collapsed="false">
      <c r="A66" s="6" t="s">
        <v>350</v>
      </c>
    </row>
    <row r="67" customFormat="false" ht="15" hidden="false" customHeight="false" outlineLevel="0" collapsed="false">
      <c r="A67" s="7" t="s">
        <v>150</v>
      </c>
      <c r="B67" s="7" t="s">
        <v>351</v>
      </c>
    </row>
    <row r="68" customFormat="false" ht="15" hidden="false" customHeight="false" outlineLevel="0" collapsed="false">
      <c r="A68" s="14" t="s">
        <v>18</v>
      </c>
      <c r="B68" s="17" t="n">
        <v>0</v>
      </c>
    </row>
    <row r="69" customFormat="false" ht="15" hidden="false" customHeight="false" outlineLevel="0" collapsed="false">
      <c r="A69" s="14" t="s">
        <v>19</v>
      </c>
      <c r="B69" s="17" t="n">
        <v>0</v>
      </c>
    </row>
    <row r="70" customFormat="false" ht="15" hidden="false" customHeight="false" outlineLevel="0" collapsed="false">
      <c r="A70" s="14" t="s">
        <v>20</v>
      </c>
      <c r="B70" s="17" t="n">
        <v>0.083</v>
      </c>
    </row>
    <row r="71" customFormat="false" ht="15" hidden="false" customHeight="false" outlineLevel="0" collapsed="false">
      <c r="A71" s="14" t="s">
        <v>21</v>
      </c>
      <c r="B71" s="17" t="n">
        <v>0.187</v>
      </c>
    </row>
    <row r="72" customFormat="false" ht="15" hidden="false" customHeight="false" outlineLevel="0" collapsed="false">
      <c r="A72" s="14" t="s">
        <v>22</v>
      </c>
      <c r="B72" s="17" t="n">
        <v>0.365</v>
      </c>
    </row>
    <row r="73" customFormat="false" ht="15" hidden="false" customHeight="false" outlineLevel="0" collapsed="false">
      <c r="A73" s="14" t="s">
        <v>23</v>
      </c>
      <c r="B73" s="17" t="n">
        <v>0.365</v>
      </c>
    </row>
    <row r="74" customFormat="false" ht="15" hidden="false" customHeight="false" outlineLevel="0" collapsed="false">
      <c r="A74" s="14" t="s">
        <v>24</v>
      </c>
      <c r="B74" s="17" t="n">
        <v>0</v>
      </c>
    </row>
    <row r="75" customFormat="false" ht="15" hidden="false" customHeight="false" outlineLevel="0" collapsed="false">
      <c r="A75" s="14" t="s">
        <v>352</v>
      </c>
      <c r="B75" s="29" t="n">
        <f aca="false">SUM(B68:B74)</f>
        <v>1</v>
      </c>
    </row>
    <row r="76" customFormat="false" ht="24" hidden="false" customHeight="true" outlineLevel="0" collapsed="false">
      <c r="A76" s="46" t="s">
        <v>353</v>
      </c>
    </row>
    <row r="77" customFormat="false" ht="15" hidden="false" customHeight="false" outlineLevel="0" collapsed="false">
      <c r="A77" s="14" t="s">
        <v>354</v>
      </c>
      <c r="B77" s="10" t="n">
        <f aca="false">SUMPRODUCT(B68:B74,'3. Assumptions'!C5:C11)</f>
        <v>0.135081995246223</v>
      </c>
    </row>
    <row r="78" customFormat="false" ht="15" hidden="false" customHeight="false" outlineLevel="0" collapsed="false">
      <c r="A78" s="30" t="s">
        <v>355</v>
      </c>
      <c r="B78" s="10" t="n">
        <f aca="false">SQRT(SUMPRODUCT(B68:B74^2,'3. Assumptions'!D5:D11^2))</f>
        <v>0.0906210393954288</v>
      </c>
    </row>
    <row r="79" customFormat="false" ht="30" hidden="false" customHeight="true" outlineLevel="0" collapsed="false">
      <c r="A79" s="6" t="s">
        <v>356</v>
      </c>
    </row>
    <row r="81" customFormat="false" ht="16.15" hidden="false" customHeight="false" outlineLevel="0" collapsed="false">
      <c r="A81" s="13" t="s">
        <v>357</v>
      </c>
    </row>
    <row r="82" customFormat="false" ht="30" hidden="false" customHeight="true" outlineLevel="0" collapsed="false">
      <c r="A82" s="6" t="s">
        <v>358</v>
      </c>
    </row>
    <row r="83" customFormat="false" ht="15" hidden="false" customHeight="false" outlineLevel="0" collapsed="false">
      <c r="A83" s="7" t="s">
        <v>359</v>
      </c>
      <c r="B83" s="7" t="s">
        <v>360</v>
      </c>
      <c r="C83" s="7" t="s">
        <v>361</v>
      </c>
    </row>
    <row r="84" customFormat="false" ht="15" hidden="false" customHeight="false" outlineLevel="0" collapsed="false">
      <c r="A84" s="20" t="n">
        <v>63284223.1135854</v>
      </c>
      <c r="B84" s="20" t="n">
        <v>105896210.502827</v>
      </c>
      <c r="C84" s="20" t="n">
        <v>186197988.171212</v>
      </c>
    </row>
    <row r="86" customFormat="false" ht="16.15" hidden="false" customHeight="false" outlineLevel="0" collapsed="false">
      <c r="A86" s="13" t="s">
        <v>362</v>
      </c>
    </row>
    <row r="87" customFormat="false" ht="32.8" hidden="false" customHeight="false" outlineLevel="0" collapsed="false">
      <c r="A87" s="6"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2026-10-21T14:58:24Z</dcterms:created>
  <dc:creator>openpyxl</dc:creator>
  <dc:description/>
  <dc:language>en-US</dc:language>
  <cp:lastModifiedBy/>
  <dcterms:modified xsi:type="dcterms:W3CDTF">2026-10-21T14:58:26Z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